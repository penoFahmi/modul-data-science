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penof\Downloads\"/>
    </mc:Choice>
  </mc:AlternateContent>
  <xr:revisionPtr revIDLastSave="0" documentId="13_ncr:1_{74B99782-B306-49A4-A054-2CBBDF25E55B}" xr6:coauthVersionLast="47" xr6:coauthVersionMax="47" xr10:uidLastSave="{00000000-0000-0000-0000-000000000000}"/>
  <bookViews>
    <workbookView xWindow="0" yWindow="0" windowWidth="11520" windowHeight="12960" activeTab="1" xr2:uid="{0E4F55C0-0C6C-4BBB-84D8-CEBAA5652683}"/>
  </bookViews>
  <sheets>
    <sheet name="GAJI" sheetId="1" r:id="rId1"/>
    <sheet name="TKDD" sheetId="2" r:id="rId2"/>
  </sheets>
  <definedNames>
    <definedName name="_xlnm.Print_Area" localSheetId="0">GAJI!$B$2:$U$98</definedName>
    <definedName name="_xlnm.Print_Area" localSheetId="1">TKDD!$B$2:$R$102</definedName>
    <definedName name="_xlnm.Print_Titles" localSheetId="0">GAJI!$9:$10</definedName>
    <definedName name="_xlnm.Print_Titles" localSheetId="1">TKDD!$9:$10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7" i="2" l="1"/>
  <c r="J67" i="2"/>
  <c r="L67" i="2" s="1"/>
  <c r="M65" i="2"/>
  <c r="L65" i="2"/>
  <c r="J65" i="2"/>
  <c r="M63" i="2"/>
  <c r="J63" i="2"/>
  <c r="L63" i="2" s="1"/>
  <c r="M61" i="2"/>
  <c r="J61" i="2"/>
  <c r="L61" i="2" s="1"/>
  <c r="M59" i="2"/>
  <c r="J59" i="2"/>
  <c r="L59" i="2" s="1"/>
  <c r="M57" i="2"/>
  <c r="J57" i="2"/>
  <c r="M55" i="2"/>
  <c r="J55" i="2"/>
  <c r="K55" i="2" s="1"/>
  <c r="L55" i="2" s="1"/>
  <c r="M53" i="2"/>
  <c r="J53" i="2"/>
  <c r="M51" i="2"/>
  <c r="J51" i="2"/>
  <c r="K51" i="2" s="1"/>
  <c r="L51" i="2" s="1"/>
  <c r="M49" i="2"/>
  <c r="J49" i="2"/>
  <c r="K49" i="2" s="1"/>
  <c r="M47" i="2"/>
  <c r="J47" i="2"/>
  <c r="K47" i="2" s="1"/>
  <c r="L47" i="2" s="1"/>
  <c r="M45" i="2"/>
  <c r="J45" i="2"/>
  <c r="M43" i="2"/>
  <c r="J43" i="2"/>
  <c r="K43" i="2" s="1"/>
  <c r="L43" i="2" s="1"/>
  <c r="M41" i="2"/>
  <c r="J41" i="2"/>
  <c r="M39" i="2"/>
  <c r="J39" i="2"/>
  <c r="K39" i="2" s="1"/>
  <c r="L39" i="2" s="1"/>
  <c r="M37" i="2"/>
  <c r="J37" i="2"/>
  <c r="M35" i="2"/>
  <c r="J35" i="2"/>
  <c r="K35" i="2" s="1"/>
  <c r="L35" i="2" s="1"/>
  <c r="M33" i="2"/>
  <c r="J33" i="2"/>
  <c r="M31" i="2"/>
  <c r="J31" i="2"/>
  <c r="K31" i="2" s="1"/>
  <c r="L31" i="2" s="1"/>
  <c r="M29" i="2"/>
  <c r="J29" i="2"/>
  <c r="K29" i="2" s="1"/>
  <c r="M27" i="2"/>
  <c r="J27" i="2"/>
  <c r="K27" i="2" s="1"/>
  <c r="L27" i="2" s="1"/>
  <c r="M25" i="2"/>
  <c r="J25" i="2"/>
  <c r="M23" i="2"/>
  <c r="J23" i="2"/>
  <c r="K23" i="2" s="1"/>
  <c r="L23" i="2" s="1"/>
  <c r="M21" i="2"/>
  <c r="J21" i="2"/>
  <c r="M19" i="2"/>
  <c r="J19" i="2"/>
  <c r="K19" i="2" s="1"/>
  <c r="L19" i="2" s="1"/>
  <c r="M17" i="2"/>
  <c r="J17" i="2"/>
  <c r="M15" i="2"/>
  <c r="J15" i="2"/>
  <c r="K15" i="2" s="1"/>
  <c r="L15" i="2" s="1"/>
  <c r="M13" i="2"/>
  <c r="J13" i="2"/>
  <c r="M11" i="2"/>
  <c r="J11" i="2"/>
  <c r="K11" i="2" s="1"/>
  <c r="L17" i="2" l="1"/>
  <c r="L25" i="2"/>
  <c r="L11" i="2"/>
  <c r="L13" i="2"/>
  <c r="L21" i="2"/>
  <c r="L37" i="2"/>
  <c r="K17" i="2"/>
  <c r="K25" i="2"/>
  <c r="K37" i="2"/>
  <c r="K45" i="2"/>
  <c r="L45" i="2" s="1"/>
  <c r="K53" i="2"/>
  <c r="L53" i="2" s="1"/>
  <c r="L29" i="2"/>
  <c r="L49" i="2"/>
  <c r="J69" i="2"/>
  <c r="K57" i="2"/>
  <c r="L57" i="2" s="1"/>
  <c r="K13" i="2"/>
  <c r="K69" i="2" s="1"/>
  <c r="K21" i="2"/>
  <c r="K33" i="2"/>
  <c r="L33" i="2" s="1"/>
  <c r="K41" i="2"/>
  <c r="L41" i="2" s="1"/>
  <c r="L69" i="2" l="1"/>
  <c r="M84" i="1" l="1"/>
  <c r="J84" i="1"/>
  <c r="L84" i="1" s="1"/>
  <c r="M82" i="1"/>
  <c r="L82" i="1"/>
  <c r="J82" i="1"/>
  <c r="M80" i="1"/>
  <c r="L80" i="1"/>
  <c r="J80" i="1"/>
  <c r="M78" i="1"/>
  <c r="J78" i="1"/>
  <c r="L78" i="1" s="1"/>
  <c r="M76" i="1"/>
  <c r="J76" i="1"/>
  <c r="L76" i="1" s="1"/>
  <c r="M74" i="1"/>
  <c r="J74" i="1"/>
  <c r="M72" i="1"/>
  <c r="J72" i="1"/>
  <c r="K72" i="1" s="1"/>
  <c r="L72" i="1" s="1"/>
  <c r="M70" i="1"/>
  <c r="J70" i="1"/>
  <c r="L70" i="1" s="1"/>
  <c r="M68" i="1"/>
  <c r="K68" i="1"/>
  <c r="L68" i="1" s="1"/>
  <c r="J68" i="1"/>
  <c r="M66" i="1"/>
  <c r="J66" i="1"/>
  <c r="K66" i="1" s="1"/>
  <c r="L66" i="1" s="1"/>
  <c r="M64" i="1"/>
  <c r="K64" i="1"/>
  <c r="L64" i="1" s="1"/>
  <c r="J64" i="1"/>
  <c r="M62" i="1"/>
  <c r="J62" i="1"/>
  <c r="K62" i="1" s="1"/>
  <c r="L62" i="1" s="1"/>
  <c r="M60" i="1"/>
  <c r="K60" i="1"/>
  <c r="L60" i="1" s="1"/>
  <c r="J60" i="1"/>
  <c r="M58" i="1"/>
  <c r="J58" i="1"/>
  <c r="K58" i="1" s="1"/>
  <c r="L58" i="1" s="1"/>
  <c r="M56" i="1"/>
  <c r="K56" i="1"/>
  <c r="L56" i="1" s="1"/>
  <c r="J56" i="1"/>
  <c r="M54" i="1"/>
  <c r="J54" i="1"/>
  <c r="K54" i="1" s="1"/>
  <c r="L54" i="1" s="1"/>
  <c r="M52" i="1"/>
  <c r="K52" i="1"/>
  <c r="L52" i="1" s="1"/>
  <c r="J52" i="1"/>
  <c r="M50" i="1"/>
  <c r="J50" i="1"/>
  <c r="M48" i="1"/>
  <c r="K48" i="1"/>
  <c r="L48" i="1" s="1"/>
  <c r="J48" i="1"/>
  <c r="M46" i="1"/>
  <c r="J46" i="1"/>
  <c r="M44" i="1"/>
  <c r="K44" i="1"/>
  <c r="L44" i="1" s="1"/>
  <c r="J44" i="1"/>
  <c r="M42" i="1"/>
  <c r="J42" i="1"/>
  <c r="M40" i="1"/>
  <c r="K40" i="1"/>
  <c r="L40" i="1" s="1"/>
  <c r="J40" i="1"/>
  <c r="M38" i="1"/>
  <c r="J38" i="1"/>
  <c r="M36" i="1"/>
  <c r="K36" i="1"/>
  <c r="L36" i="1" s="1"/>
  <c r="J36" i="1"/>
  <c r="M34" i="1"/>
  <c r="J34" i="1"/>
  <c r="M32" i="1"/>
  <c r="K32" i="1"/>
  <c r="L32" i="1" s="1"/>
  <c r="J32" i="1"/>
  <c r="M30" i="1"/>
  <c r="J30" i="1"/>
  <c r="M28" i="1"/>
  <c r="K28" i="1"/>
  <c r="L28" i="1" s="1"/>
  <c r="J28" i="1"/>
  <c r="M26" i="1"/>
  <c r="J26" i="1"/>
  <c r="M24" i="1"/>
  <c r="K24" i="1"/>
  <c r="L24" i="1" s="1"/>
  <c r="J24" i="1"/>
  <c r="M22" i="1"/>
  <c r="J22" i="1"/>
  <c r="M20" i="1"/>
  <c r="K20" i="1"/>
  <c r="L20" i="1" s="1"/>
  <c r="J20" i="1"/>
  <c r="M18" i="1"/>
  <c r="J18" i="1"/>
  <c r="M16" i="1"/>
  <c r="K16" i="1"/>
  <c r="L16" i="1" s="1"/>
  <c r="J16" i="1"/>
  <c r="M14" i="1"/>
  <c r="J14" i="1"/>
  <c r="M12" i="1"/>
  <c r="K12" i="1"/>
  <c r="L12" i="1" s="1"/>
  <c r="J12" i="1"/>
  <c r="I86" i="1" s="1"/>
  <c r="L30" i="1" l="1"/>
  <c r="L34" i="1"/>
  <c r="L42" i="1"/>
  <c r="L50" i="1"/>
  <c r="L26" i="1"/>
  <c r="K74" i="1"/>
  <c r="L74" i="1" s="1"/>
  <c r="K14" i="1"/>
  <c r="L14" i="1" s="1"/>
  <c r="K18" i="1"/>
  <c r="L18" i="1" s="1"/>
  <c r="K22" i="1"/>
  <c r="L22" i="1" s="1"/>
  <c r="K26" i="1"/>
  <c r="K30" i="1"/>
  <c r="K34" i="1"/>
  <c r="K38" i="1"/>
  <c r="L38" i="1" s="1"/>
  <c r="K42" i="1"/>
  <c r="K46" i="1"/>
  <c r="L46" i="1" s="1"/>
  <c r="K50" i="1"/>
  <c r="K86" i="1"/>
  <c r="L86" i="1" l="1"/>
</calcChain>
</file>

<file path=xl/sharedStrings.xml><?xml version="1.0" encoding="utf-8"?>
<sst xmlns="http://schemas.openxmlformats.org/spreadsheetml/2006/main" count="436" uniqueCount="114">
  <si>
    <t>TANDA TERIMA HONORARIUM TAPD</t>
  </si>
  <si>
    <t>PEMBENTUKAN TIM ANGGARAN PEMERINTAH DAERAH DALAM RANGKA ASISTENSI PERENCANAAN DAN PENGANGGARAN BELANJA GAJI DAN TUNJANGAN TAHUN ANGGARAN 2025</t>
  </si>
  <si>
    <t>KEGIATAN KOORDINASI PERENCANAAN ANGGARAN BELANJA DAERAH</t>
  </si>
  <si>
    <r>
      <t xml:space="preserve">Sesuai dengan Keputusan Wali Kota Pontianak Nomor  </t>
    </r>
    <r>
      <rPr>
        <sz val="13"/>
        <rFont val="Cambria"/>
        <family val="1"/>
      </rPr>
      <t>157</t>
    </r>
    <r>
      <rPr>
        <sz val="13"/>
        <color theme="1"/>
        <rFont val="Cambria"/>
        <family val="1"/>
      </rPr>
      <t xml:space="preserve"> / BKAD / TAHUN 2025,  tanggal </t>
    </r>
    <r>
      <rPr>
        <sz val="13"/>
        <rFont val="Cambria"/>
        <family val="1"/>
      </rPr>
      <t xml:space="preserve"> 2 Januari</t>
    </r>
    <r>
      <rPr>
        <sz val="13"/>
        <color theme="1"/>
        <rFont val="Cambria"/>
        <family val="1"/>
      </rPr>
      <t xml:space="preserve">  2025</t>
    </r>
  </si>
  <si>
    <r>
      <t xml:space="preserve">Permintaan Bulan </t>
    </r>
    <r>
      <rPr>
        <sz val="13"/>
        <color rgb="FF0070C0"/>
        <rFont val="Cambria"/>
        <family val="1"/>
      </rPr>
      <t>JANUARI s/d FEBRUARI</t>
    </r>
  </si>
  <si>
    <t>No.</t>
  </si>
  <si>
    <t>Nama / Jabatan</t>
  </si>
  <si>
    <t xml:space="preserve">Jabatan </t>
  </si>
  <si>
    <t>Perhitungan</t>
  </si>
  <si>
    <t xml:space="preserve">PPh </t>
  </si>
  <si>
    <t>Honorarium</t>
  </si>
  <si>
    <t>Tanda Tangan</t>
  </si>
  <si>
    <t>dalam Tim</t>
  </si>
  <si>
    <t>5%-15%</t>
  </si>
  <si>
    <t>EDI SURYANTO, Ak. MM</t>
  </si>
  <si>
    <t>Pembina</t>
  </si>
  <si>
    <t>x</t>
  </si>
  <si>
    <t>bl</t>
  </si>
  <si>
    <t>=</t>
  </si>
  <si>
    <t>Pj. Wali Kota Pontianak</t>
  </si>
  <si>
    <t>Ir. AMIRULLAH, MA.</t>
  </si>
  <si>
    <t>Ketua</t>
  </si>
  <si>
    <t>Sekretaris Daerah Kota Pontianak</t>
  </si>
  <si>
    <t>Drs. ZULKARNAIN, M.Si</t>
  </si>
  <si>
    <t>Wakil Ketua</t>
  </si>
  <si>
    <t>Plt. Kepala BKAD Kota Pontianak</t>
  </si>
  <si>
    <t>YENNIE MURDIANI, SE.</t>
  </si>
  <si>
    <t>Sekretaris</t>
  </si>
  <si>
    <t>Kepala Bidang Anggaran dan Sistem Informasi Keuangan Daerah BKAD Kota Pontianak</t>
  </si>
  <si>
    <t>Dra. UTIN SRI LENA CANDRAMIDI, M.Si.</t>
  </si>
  <si>
    <t>Anggota</t>
  </si>
  <si>
    <t>Asisten Perekonomian dan Pembangunan</t>
  </si>
  <si>
    <t>YUNI ROSDIAH, S.I.P, M.Si</t>
  </si>
  <si>
    <t>Kepala Badan Kepegawaian dan Pengembangan Sumber Daya Manusia Kota Pontianak</t>
  </si>
  <si>
    <t>VIKTOR, SE. ME.</t>
  </si>
  <si>
    <t>Sekretaris BKAD Kota Pontianak</t>
  </si>
  <si>
    <t>ELSA RISFADONA, MT.M.Sc.</t>
  </si>
  <si>
    <t>Kepala Bagian Administrasi Pembangunan Sekretariat Daerah Kota Pontianak</t>
  </si>
  <si>
    <t>IMANSYAH, ST. M.Eng.</t>
  </si>
  <si>
    <t>Kepala Bidang Perencanaan, Pengendalian dan Evaluasi Pembangunan Badan Perencanaan Pembangunan Riset dan Inovasi Daerah</t>
  </si>
  <si>
    <t>ATIK KUSMARDIYAH, SE.Ak.Ca. M.Ak.</t>
  </si>
  <si>
    <t>Kepala Bidang Perbendaharaan, Akuntansi dan Pelaporan Keuangan</t>
  </si>
  <si>
    <t>AHMAD FADLI, S.Sos</t>
  </si>
  <si>
    <t>Plt. Kepala Bidang Mutasi dan Pengadaan Aparatur Kota Pontianak</t>
  </si>
  <si>
    <t>RESTY UTAMI, SE. M.Ak.</t>
  </si>
  <si>
    <t>Kasubbid Perencanaan Penganggaran dan Sistem Informasi</t>
  </si>
  <si>
    <t>ANDIYANSAH, SE. M.Ak.</t>
  </si>
  <si>
    <t>Kasubbid Penyusunan dan Pengendalian Anggaran</t>
  </si>
  <si>
    <t>ASHARI THALAIL, SE.</t>
  </si>
  <si>
    <t>Kasubbid Perbendaharaan</t>
  </si>
  <si>
    <t>ENA MUHARYATI</t>
  </si>
  <si>
    <t xml:space="preserve">Analis Kebijakan Administrasi Pembangunan </t>
  </si>
  <si>
    <t>ELITA ILNI</t>
  </si>
  <si>
    <t>Analis Pembangunan Bagian Administrasi Pembangunan</t>
  </si>
  <si>
    <t>RIZA FAHLEVI</t>
  </si>
  <si>
    <t xml:space="preserve">Analis Monitoring Evaluasi Pelaporan </t>
  </si>
  <si>
    <t>AGUS MULYANA</t>
  </si>
  <si>
    <t xml:space="preserve">Analis Sumber Daya Manusia Aparatur Ahli Muda </t>
  </si>
  <si>
    <t>SUTEJA</t>
  </si>
  <si>
    <t>ISMURHADI RISKI, S.STP. ME.</t>
  </si>
  <si>
    <t>AKPD - Ahli Pertama, Bidang Anggaran</t>
  </si>
  <si>
    <t>SARI SUNDARI, S.Kom.</t>
  </si>
  <si>
    <t>Analis Data dan Informasi</t>
  </si>
  <si>
    <t>UTAMI DWI ANDINI, SE.</t>
  </si>
  <si>
    <t>Analis Perbendaharaan</t>
  </si>
  <si>
    <t>SARAH ASTUTI, SE. ME.</t>
  </si>
  <si>
    <t>Perencana Ahli Muda BAPPEDA Kota Pontianak</t>
  </si>
  <si>
    <t>RYAN DHARMAWAN</t>
  </si>
  <si>
    <t>Pemeriksa Anggaran</t>
  </si>
  <si>
    <t>GUSTI SAYUDI</t>
  </si>
  <si>
    <t>Pranata Teknologi Informasi Komputer</t>
  </si>
  <si>
    <t>EFFENDI</t>
  </si>
  <si>
    <t>Verifikator Keuangan</t>
  </si>
  <si>
    <t>INDRA WAHYUNI</t>
  </si>
  <si>
    <t>WAN RIDWAN, A.Md.</t>
  </si>
  <si>
    <t>MOCHDAR</t>
  </si>
  <si>
    <t>Pengadministrasi Anggaran</t>
  </si>
  <si>
    <t>INDAH KURNIAWATI</t>
  </si>
  <si>
    <t>HENY NOFAWIYANA, A.Md.</t>
  </si>
  <si>
    <t>Pengelola Anggaran</t>
  </si>
  <si>
    <t>ERRY POLITA RAHAYU</t>
  </si>
  <si>
    <t>Pengelola Keuangan DPRD Kota Pontianak</t>
  </si>
  <si>
    <t>IQLIMA ZAHRA, A.Md.Ak.</t>
  </si>
  <si>
    <t>Pengolah Data dan Informasi</t>
  </si>
  <si>
    <t>AULIA AHSANAL RHAMADINA AF, A.Md.Kb.N.</t>
  </si>
  <si>
    <t>FARHAN MUZAKKI, A.Md.Ak.</t>
  </si>
  <si>
    <t>M. FAIZ FATURRAHMAN, A.Md.Kb.N.</t>
  </si>
  <si>
    <t>DERI NAUFAL SUBRATA, A.Md.Ak.</t>
  </si>
  <si>
    <t>Pontianak,          Maret  2025</t>
  </si>
  <si>
    <t>Mengetahui,</t>
  </si>
  <si>
    <t>Kepala Bidang Anggaran</t>
  </si>
  <si>
    <t>BKAD Kota Pontianak</t>
  </si>
  <si>
    <t>YENNIE MURDIANI,  SE.</t>
  </si>
  <si>
    <t>NIP .   19820607 200501 2 013</t>
  </si>
  <si>
    <t>TANDA TERIMA HONORARIUM</t>
  </si>
  <si>
    <t>PEMBENTUKAN TIM REKONSILIASI PERENCANAAN PENGANGGARAN RENCANA KERJA PEMERINTAH DAERAH DANA TRANSFER KE DAERAH TAHUN ANGGARAN 2025</t>
  </si>
  <si>
    <t>Sesuai dengan Keputusan Wali Kota Nomor : 278 / BKAD / TAHUN 2025,  Tanggal  4 Februari 2025</t>
  </si>
  <si>
    <r>
      <t xml:space="preserve">Permintaan Bulan </t>
    </r>
    <r>
      <rPr>
        <i/>
        <sz val="13"/>
        <rFont val="Cambria"/>
        <family val="1"/>
      </rPr>
      <t>FEBRUARI</t>
    </r>
  </si>
  <si>
    <t>Nomor</t>
  </si>
  <si>
    <t>dr. H. SIDIG HANDANU WIDOYONO, M.Kes.</t>
  </si>
  <si>
    <t>Kepala Badan Perencanaan Pembangunan, Riset dan Inovasi Daerah Kota Pontianak</t>
  </si>
  <si>
    <t>KRESNA KUSUMA NEGARA, S.STP. M.AP</t>
  </si>
  <si>
    <t>Kasubbid Perencanaan, Pengadaan, Penggunaan dan Penatausahaan Aset</t>
  </si>
  <si>
    <t>Perencana Ahli Muda BAPPERIDA Kota Pontianak</t>
  </si>
  <si>
    <t>ISMURHADI RIZKI, S.STP. ME.</t>
  </si>
  <si>
    <t>RYAN DHARMAWAN, SE.</t>
  </si>
  <si>
    <t>M O C H D A R</t>
  </si>
  <si>
    <t>SITI ZUBAIDAH</t>
  </si>
  <si>
    <t>Pengadministrasi Penerimaan</t>
  </si>
  <si>
    <t>Pengelola Keuangan DPRD</t>
  </si>
  <si>
    <t>AULIA AHSANAL RHAMADINA, A.Md.Kb.N.</t>
  </si>
  <si>
    <t>FARHAN MUZAKKI, A.Md.Ak,</t>
  </si>
  <si>
    <t>M. AIMANUZ ZAKIY</t>
  </si>
  <si>
    <t>BILLA RAHZA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</si>
</sst>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Rp-3809]* #,##0_-;\-[$Rp-3809]* #,##0_-;_-[$Rp-3809]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5"/>
      <color theme="1"/>
      <name val="Cambria"/>
      <family val="1"/>
    </font>
    <font>
      <sz val="13"/>
      <color theme="1"/>
      <name val="Cambria"/>
      <family val="1"/>
    </font>
    <font>
      <sz val="13"/>
      <name val="Cambria"/>
      <family val="1"/>
    </font>
    <font>
      <sz val="13"/>
      <color rgb="FF0070C0"/>
      <name val="Cambria"/>
      <family val="1"/>
    </font>
    <font>
      <sz val="12"/>
      <color rgb="FF0070C0"/>
      <name val="Cambria"/>
      <family val="1"/>
    </font>
    <font>
      <sz val="12"/>
      <name val="Cambria"/>
      <family val="1"/>
    </font>
    <font>
      <u/>
      <sz val="12"/>
      <name val="Cambria"/>
      <family val="1"/>
    </font>
    <font>
      <sz val="15"/>
      <name val="Cambria"/>
      <family val="1"/>
    </font>
    <font>
      <i/>
      <sz val="13"/>
      <name val="Cambria"/>
      <family val="1"/>
    </font>
    <font>
      <sz val="12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5">
    <xf numFmtId="0" fontId="0" fillId="0" borderId="0" xfId="0"/>
    <xf numFmtId="0" fontId="2" fillId="0" borderId="0" xfId="1" applyNumberFormat="1" applyFont="1" applyAlignment="1">
      <alignment horizontal="left" vertical="center"/>
    </xf>
    <xf numFmtId="164" fontId="2" fillId="0" borderId="0" xfId="1" applyFont="1" applyAlignment="1">
      <alignment vertical="center"/>
    </xf>
    <xf numFmtId="164" fontId="2" fillId="0" borderId="0" xfId="1" applyFont="1" applyAlignment="1">
      <alignment horizontal="center" vertical="center"/>
    </xf>
    <xf numFmtId="0" fontId="3" fillId="0" borderId="0" xfId="1" applyNumberFormat="1" applyFont="1" applyAlignment="1">
      <alignment horizontal="left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0" fontId="4" fillId="0" borderId="0" xfId="1" applyNumberFormat="1" applyFont="1" applyAlignment="1">
      <alignment horizontal="left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" fillId="0" borderId="7" xfId="1" applyNumberFormat="1" applyFont="1" applyBorder="1" applyAlignment="1">
      <alignment horizontal="center" vertical="center"/>
    </xf>
    <xf numFmtId="164" fontId="2" fillId="0" borderId="8" xfId="1" applyFont="1" applyBorder="1" applyAlignment="1">
      <alignment vertical="center"/>
    </xf>
    <xf numFmtId="164" fontId="2" fillId="0" borderId="0" xfId="1" applyFont="1" applyBorder="1" applyAlignment="1">
      <alignment horizontal="center" vertical="center"/>
    </xf>
    <xf numFmtId="164" fontId="2" fillId="0" borderId="7" xfId="1" applyFont="1" applyBorder="1" applyAlignment="1">
      <alignment vertical="center"/>
    </xf>
    <xf numFmtId="164" fontId="2" fillId="0" borderId="0" xfId="1" applyFont="1" applyBorder="1" applyAlignment="1">
      <alignment vertical="center"/>
    </xf>
    <xf numFmtId="164" fontId="2" fillId="0" borderId="9" xfId="1" applyFont="1" applyBorder="1" applyAlignment="1">
      <alignment vertical="center"/>
    </xf>
    <xf numFmtId="0" fontId="7" fillId="0" borderId="8" xfId="1" applyNumberFormat="1" applyFont="1" applyBorder="1" applyAlignment="1">
      <alignment vertical="center"/>
    </xf>
    <xf numFmtId="0" fontId="2" fillId="0" borderId="0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left" vertical="center"/>
    </xf>
    <xf numFmtId="0" fontId="2" fillId="0" borderId="10" xfId="1" applyNumberFormat="1" applyFont="1" applyBorder="1" applyAlignment="1">
      <alignment vertical="center"/>
    </xf>
    <xf numFmtId="164" fontId="2" fillId="0" borderId="11" xfId="1" applyFont="1" applyBorder="1" applyAlignment="1">
      <alignment vertical="center"/>
    </xf>
    <xf numFmtId="164" fontId="2" fillId="0" borderId="12" xfId="1" applyFont="1" applyBorder="1" applyAlignment="1">
      <alignment vertical="center"/>
    </xf>
    <xf numFmtId="164" fontId="2" fillId="0" borderId="12" xfId="1" applyFont="1" applyBorder="1" applyAlignment="1">
      <alignment horizontal="center" vertical="center"/>
    </xf>
    <xf numFmtId="164" fontId="2" fillId="0" borderId="13" xfId="1" applyFont="1" applyBorder="1" applyAlignment="1">
      <alignment vertical="center"/>
    </xf>
    <xf numFmtId="164" fontId="2" fillId="0" borderId="10" xfId="1" applyFont="1" applyBorder="1" applyAlignment="1">
      <alignment vertical="center"/>
    </xf>
    <xf numFmtId="0" fontId="2" fillId="0" borderId="14" xfId="1" applyNumberFormat="1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164" fontId="2" fillId="0" borderId="14" xfId="1" applyFont="1" applyBorder="1" applyAlignment="1">
      <alignment vertical="center"/>
    </xf>
    <xf numFmtId="0" fontId="2" fillId="0" borderId="11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vertical="center"/>
    </xf>
    <xf numFmtId="0" fontId="7" fillId="0" borderId="15" xfId="1" applyNumberFormat="1" applyFont="1" applyBorder="1" applyAlignment="1">
      <alignment vertical="center"/>
    </xf>
    <xf numFmtId="0" fontId="2" fillId="0" borderId="3" xfId="1" applyNumberFormat="1" applyFont="1" applyBorder="1" applyAlignment="1">
      <alignment horizontal="center" vertical="center"/>
    </xf>
    <xf numFmtId="164" fontId="2" fillId="0" borderId="16" xfId="1" applyFont="1" applyBorder="1" applyAlignment="1">
      <alignment vertical="center"/>
    </xf>
    <xf numFmtId="164" fontId="2" fillId="0" borderId="3" xfId="1" applyFont="1" applyBorder="1" applyAlignment="1">
      <alignment vertical="center"/>
    </xf>
    <xf numFmtId="164" fontId="2" fillId="0" borderId="15" xfId="1" applyFont="1" applyBorder="1" applyAlignment="1">
      <alignment vertical="center"/>
    </xf>
    <xf numFmtId="0" fontId="2" fillId="0" borderId="15" xfId="1" applyNumberFormat="1" applyFont="1" applyBorder="1" applyAlignment="1">
      <alignment horizontal="left" vertical="center"/>
    </xf>
    <xf numFmtId="0" fontId="2" fillId="0" borderId="10" xfId="1" applyNumberFormat="1" applyFont="1" applyBorder="1" applyAlignment="1">
      <alignment vertical="center" wrapText="1"/>
    </xf>
    <xf numFmtId="164" fontId="2" fillId="0" borderId="15" xfId="1" applyFont="1" applyBorder="1" applyAlignment="1">
      <alignment horizontal="center" vertical="center"/>
    </xf>
    <xf numFmtId="164" fontId="2" fillId="0" borderId="10" xfId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164" fontId="2" fillId="0" borderId="8" xfId="1" applyFont="1" applyBorder="1" applyAlignment="1">
      <alignment horizontal="center" vertical="center"/>
    </xf>
    <xf numFmtId="0" fontId="2" fillId="0" borderId="10" xfId="1" applyNumberFormat="1" applyFont="1" applyBorder="1" applyAlignment="1">
      <alignment horizontal="center" vertical="center"/>
    </xf>
    <xf numFmtId="0" fontId="2" fillId="0" borderId="15" xfId="1" applyNumberFormat="1" applyFont="1" applyBorder="1" applyAlignment="1">
      <alignment horizontal="center" vertical="center"/>
    </xf>
    <xf numFmtId="0" fontId="2" fillId="0" borderId="12" xfId="1" applyNumberFormat="1" applyFont="1" applyBorder="1" applyAlignment="1">
      <alignment vertical="center" wrapText="1"/>
    </xf>
    <xf numFmtId="0" fontId="7" fillId="0" borderId="0" xfId="1" applyNumberFormat="1" applyFont="1" applyBorder="1" applyAlignment="1">
      <alignment vertical="center"/>
    </xf>
    <xf numFmtId="0" fontId="8" fillId="0" borderId="8" xfId="1" applyNumberFormat="1" applyFont="1" applyBorder="1" applyAlignment="1">
      <alignment horizontal="center" vertical="center"/>
    </xf>
    <xf numFmtId="0" fontId="7" fillId="0" borderId="0" xfId="1" applyNumberFormat="1" applyFont="1" applyFill="1" applyBorder="1" applyAlignment="1">
      <alignment vertical="center"/>
    </xf>
    <xf numFmtId="164" fontId="8" fillId="0" borderId="8" xfId="1" applyFont="1" applyBorder="1" applyAlignment="1">
      <alignment horizontal="center" vertical="center"/>
    </xf>
    <xf numFmtId="164" fontId="8" fillId="0" borderId="7" xfId="1" applyFont="1" applyBorder="1" applyAlignment="1">
      <alignment vertical="center"/>
    </xf>
    <xf numFmtId="0" fontId="8" fillId="0" borderId="0" xfId="1" applyNumberFormat="1" applyFont="1" applyBorder="1" applyAlignment="1">
      <alignment horizontal="center" vertical="center"/>
    </xf>
    <xf numFmtId="164" fontId="8" fillId="0" borderId="0" xfId="1" applyFont="1" applyBorder="1" applyAlignment="1">
      <alignment horizontal="center" vertical="center"/>
    </xf>
    <xf numFmtId="164" fontId="8" fillId="0" borderId="9" xfId="1" applyFont="1" applyBorder="1" applyAlignment="1">
      <alignment vertical="center"/>
    </xf>
    <xf numFmtId="164" fontId="8" fillId="0" borderId="0" xfId="1" applyFont="1" applyBorder="1" applyAlignment="1">
      <alignment vertical="center"/>
    </xf>
    <xf numFmtId="164" fontId="8" fillId="0" borderId="8" xfId="1" applyFont="1" applyBorder="1" applyAlignment="1">
      <alignment vertical="center"/>
    </xf>
    <xf numFmtId="0" fontId="8" fillId="0" borderId="8" xfId="1" applyNumberFormat="1" applyFont="1" applyBorder="1" applyAlignment="1">
      <alignment horizontal="left" vertical="center"/>
    </xf>
    <xf numFmtId="164" fontId="8" fillId="0" borderId="0" xfId="1" applyFont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0" fontId="8" fillId="0" borderId="12" xfId="1" applyNumberFormat="1" applyFont="1" applyBorder="1" applyAlignment="1">
      <alignment vertical="center" wrapText="1"/>
    </xf>
    <xf numFmtId="164" fontId="8" fillId="0" borderId="10" xfId="1" applyFont="1" applyBorder="1" applyAlignment="1">
      <alignment horizontal="center" vertical="center"/>
    </xf>
    <xf numFmtId="164" fontId="8" fillId="0" borderId="11" xfId="1" applyFont="1" applyBorder="1" applyAlignment="1">
      <alignment vertical="center"/>
    </xf>
    <xf numFmtId="164" fontId="8" fillId="0" borderId="12" xfId="1" applyFont="1" applyBorder="1" applyAlignment="1">
      <alignment vertical="center"/>
    </xf>
    <xf numFmtId="164" fontId="8" fillId="0" borderId="12" xfId="1" applyFont="1" applyBorder="1" applyAlignment="1">
      <alignment horizontal="center" vertical="center"/>
    </xf>
    <xf numFmtId="164" fontId="8" fillId="0" borderId="13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0" fontId="7" fillId="0" borderId="3" xfId="1" applyNumberFormat="1" applyFont="1" applyBorder="1" applyAlignment="1">
      <alignment vertical="center"/>
    </xf>
    <xf numFmtId="0" fontId="2" fillId="0" borderId="12" xfId="1" applyNumberFormat="1" applyFont="1" applyBorder="1" applyAlignment="1">
      <alignment vertical="center"/>
    </xf>
    <xf numFmtId="0" fontId="2" fillId="0" borderId="0" xfId="1" applyNumberFormat="1" applyFont="1" applyBorder="1" applyAlignment="1">
      <alignment vertical="center"/>
    </xf>
    <xf numFmtId="0" fontId="2" fillId="0" borderId="13" xfId="1" applyNumberFormat="1" applyFont="1" applyBorder="1" applyAlignment="1">
      <alignment vertical="center"/>
    </xf>
    <xf numFmtId="0" fontId="7" fillId="0" borderId="16" xfId="1" applyNumberFormat="1" applyFont="1" applyBorder="1" applyAlignment="1">
      <alignment vertical="center"/>
    </xf>
    <xf numFmtId="0" fontId="7" fillId="2" borderId="14" xfId="1" applyNumberFormat="1" applyFont="1" applyFill="1" applyBorder="1" applyAlignment="1">
      <alignment horizontal="center" vertical="center"/>
    </xf>
    <xf numFmtId="164" fontId="7" fillId="2" borderId="3" xfId="1" applyFont="1" applyFill="1" applyBorder="1" applyAlignment="1">
      <alignment vertical="center"/>
    </xf>
    <xf numFmtId="164" fontId="7" fillId="2" borderId="3" xfId="1" applyFont="1" applyFill="1" applyBorder="1" applyAlignment="1">
      <alignment horizontal="center" vertical="center"/>
    </xf>
    <xf numFmtId="164" fontId="7" fillId="2" borderId="14" xfId="1" applyFont="1" applyFill="1" applyBorder="1" applyAlignment="1">
      <alignment vertical="center"/>
    </xf>
    <xf numFmtId="164" fontId="7" fillId="2" borderId="15" xfId="1" applyFont="1" applyFill="1" applyBorder="1" applyAlignment="1">
      <alignment vertical="center"/>
    </xf>
    <xf numFmtId="0" fontId="7" fillId="2" borderId="11" xfId="1" applyNumberFormat="1" applyFont="1" applyFill="1" applyBorder="1" applyAlignment="1">
      <alignment horizontal="center" vertical="center"/>
    </xf>
    <xf numFmtId="164" fontId="7" fillId="2" borderId="12" xfId="1" applyFont="1" applyFill="1" applyBorder="1" applyAlignment="1">
      <alignment vertical="center"/>
    </xf>
    <xf numFmtId="164" fontId="7" fillId="2" borderId="12" xfId="1" applyFont="1" applyFill="1" applyBorder="1" applyAlignment="1">
      <alignment horizontal="center" vertical="center"/>
    </xf>
    <xf numFmtId="164" fontId="7" fillId="2" borderId="11" xfId="1" applyFont="1" applyFill="1" applyBorder="1" applyAlignment="1">
      <alignment vertical="center"/>
    </xf>
    <xf numFmtId="164" fontId="7" fillId="2" borderId="10" xfId="1" applyFont="1" applyFill="1" applyBorder="1" applyAlignment="1">
      <alignment vertical="center"/>
    </xf>
    <xf numFmtId="0" fontId="2" fillId="0" borderId="0" xfId="1" applyNumberFormat="1" applyFont="1" applyAlignment="1">
      <alignment horizontal="center" vertical="center"/>
    </xf>
    <xf numFmtId="164" fontId="2" fillId="0" borderId="0" xfId="1" applyFont="1" applyFill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1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1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164" fontId="8" fillId="2" borderId="15" xfId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164" fontId="8" fillId="2" borderId="17" xfId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164" fontId="8" fillId="0" borderId="7" xfId="1" applyFont="1" applyBorder="1" applyAlignment="1"/>
    <xf numFmtId="0" fontId="8" fillId="0" borderId="20" xfId="0" applyFont="1" applyBorder="1" applyAlignment="1">
      <alignment horizontal="center"/>
    </xf>
    <xf numFmtId="164" fontId="8" fillId="0" borderId="21" xfId="1" applyFont="1" applyBorder="1" applyAlignment="1"/>
    <xf numFmtId="164" fontId="8" fillId="0" borderId="22" xfId="1" applyFont="1" applyBorder="1" applyAlignment="1"/>
    <xf numFmtId="0" fontId="8" fillId="0" borderId="22" xfId="0" applyFont="1" applyBorder="1" applyAlignment="1">
      <alignment horizontal="left"/>
    </xf>
    <xf numFmtId="0" fontId="8" fillId="0" borderId="0" xfId="0" applyFont="1"/>
    <xf numFmtId="0" fontId="8" fillId="0" borderId="10" xfId="0" applyFont="1" applyBorder="1" applyAlignment="1">
      <alignment horizontal="center" vertical="top"/>
    </xf>
    <xf numFmtId="164" fontId="8" fillId="0" borderId="7" xfId="1" applyFont="1" applyBorder="1" applyAlignment="1">
      <alignment vertical="top"/>
    </xf>
    <xf numFmtId="165" fontId="8" fillId="0" borderId="0" xfId="0" applyNumberFormat="1" applyFont="1" applyAlignment="1">
      <alignment horizontal="center" vertical="top"/>
    </xf>
    <xf numFmtId="164" fontId="8" fillId="0" borderId="9" xfId="1" applyFont="1" applyBorder="1" applyAlignment="1">
      <alignment vertical="top"/>
    </xf>
    <xf numFmtId="164" fontId="8" fillId="0" borderId="8" xfId="1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15" xfId="0" applyFont="1" applyBorder="1" applyAlignment="1">
      <alignment horizontal="center"/>
    </xf>
    <xf numFmtId="164" fontId="8" fillId="0" borderId="14" xfId="1" applyFont="1" applyBorder="1" applyAlignment="1"/>
    <xf numFmtId="0" fontId="8" fillId="0" borderId="3" xfId="0" applyFont="1" applyBorder="1" applyAlignment="1">
      <alignment horizontal="center"/>
    </xf>
    <xf numFmtId="164" fontId="8" fillId="0" borderId="3" xfId="1" applyFont="1" applyBorder="1" applyAlignment="1"/>
    <xf numFmtId="164" fontId="8" fillId="0" borderId="15" xfId="1" applyFont="1" applyBorder="1" applyAlignment="1"/>
    <xf numFmtId="164" fontId="8" fillId="0" borderId="16" xfId="1" applyFont="1" applyBorder="1" applyAlignment="1"/>
    <xf numFmtId="0" fontId="8" fillId="0" borderId="15" xfId="0" applyFont="1" applyBorder="1" applyAlignment="1">
      <alignment horizontal="left"/>
    </xf>
    <xf numFmtId="164" fontId="8" fillId="0" borderId="11" xfId="1" applyFont="1" applyBorder="1" applyAlignment="1">
      <alignment vertical="top"/>
    </xf>
    <xf numFmtId="165" fontId="8" fillId="0" borderId="12" xfId="0" applyNumberFormat="1" applyFont="1" applyBorder="1" applyAlignment="1">
      <alignment horizontal="center" vertical="top"/>
    </xf>
    <xf numFmtId="164" fontId="8" fillId="0" borderId="12" xfId="1" applyFont="1" applyBorder="1" applyAlignment="1">
      <alignment vertical="top"/>
    </xf>
    <xf numFmtId="164" fontId="8" fillId="0" borderId="10" xfId="1" applyFont="1" applyBorder="1" applyAlignment="1">
      <alignment vertical="top"/>
    </xf>
    <xf numFmtId="164" fontId="8" fillId="0" borderId="13" xfId="1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8" xfId="0" applyFont="1" applyBorder="1" applyAlignment="1">
      <alignment horizontal="center" vertical="top"/>
    </xf>
    <xf numFmtId="164" fontId="8" fillId="0" borderId="0" xfId="1" applyFont="1" applyBorder="1" applyAlignment="1">
      <alignment vertical="top"/>
    </xf>
    <xf numFmtId="0" fontId="7" fillId="0" borderId="3" xfId="1" applyNumberFormat="1" applyFont="1" applyBorder="1" applyAlignment="1"/>
    <xf numFmtId="0" fontId="2" fillId="0" borderId="10" xfId="0" applyFont="1" applyBorder="1" applyAlignment="1">
      <alignment vertical="top" wrapText="1"/>
    </xf>
    <xf numFmtId="0" fontId="8" fillId="0" borderId="16" xfId="0" applyFont="1" applyBorder="1" applyAlignment="1">
      <alignment horizontal="left"/>
    </xf>
    <xf numFmtId="0" fontId="8" fillId="0" borderId="13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7" fillId="0" borderId="3" xfId="0" applyFont="1" applyBorder="1"/>
    <xf numFmtId="0" fontId="2" fillId="0" borderId="12" xfId="0" applyFont="1" applyBorder="1" applyAlignment="1">
      <alignment vertical="top" wrapText="1"/>
    </xf>
    <xf numFmtId="0" fontId="2" fillId="0" borderId="12" xfId="0" applyFont="1" applyBorder="1" applyAlignment="1">
      <alignment vertical="top"/>
    </xf>
    <xf numFmtId="0" fontId="2" fillId="0" borderId="23" xfId="1" applyNumberFormat="1" applyFont="1" applyBorder="1" applyAlignment="1">
      <alignment vertical="top"/>
    </xf>
    <xf numFmtId="0" fontId="2" fillId="0" borderId="12" xfId="1" applyNumberFormat="1" applyFont="1" applyBorder="1" applyAlignment="1">
      <alignment vertical="top"/>
    </xf>
    <xf numFmtId="0" fontId="7" fillId="0" borderId="0" xfId="1" applyNumberFormat="1" applyFont="1" applyBorder="1" applyAlignment="1"/>
    <xf numFmtId="0" fontId="8" fillId="0" borderId="1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164" fontId="8" fillId="0" borderId="1" xfId="1" applyFont="1" applyFill="1" applyBorder="1" applyAlignment="1">
      <alignment vertical="center"/>
    </xf>
    <xf numFmtId="165" fontId="8" fillId="0" borderId="24" xfId="0" applyNumberFormat="1" applyFont="1" applyBorder="1" applyAlignment="1">
      <alignment horizontal="center" vertical="center"/>
    </xf>
    <xf numFmtId="164" fontId="8" fillId="0" borderId="25" xfId="1" applyFont="1" applyFill="1" applyBorder="1" applyAlignment="1">
      <alignment vertical="center"/>
    </xf>
    <xf numFmtId="164" fontId="8" fillId="0" borderId="2" xfId="1" applyFont="1" applyFill="1" applyBorder="1" applyAlignment="1">
      <alignment vertical="center"/>
    </xf>
    <xf numFmtId="164" fontId="12" fillId="0" borderId="0" xfId="1" applyFont="1" applyAlignment="1">
      <alignment horizontal="center" vertical="center"/>
    </xf>
    <xf numFmtId="164" fontId="8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2" borderId="3" xfId="1" applyFont="1" applyFill="1" applyBorder="1" applyAlignment="1">
      <alignment horizontal="center" vertical="center"/>
    </xf>
    <xf numFmtId="164" fontId="7" fillId="2" borderId="16" xfId="1" applyFont="1" applyFill="1" applyBorder="1" applyAlignment="1">
      <alignment horizontal="center" vertical="center"/>
    </xf>
    <xf numFmtId="164" fontId="7" fillId="2" borderId="12" xfId="1" applyFont="1" applyFill="1" applyBorder="1" applyAlignment="1">
      <alignment horizontal="center" vertical="center"/>
    </xf>
    <xf numFmtId="164" fontId="7" fillId="2" borderId="13" xfId="1" applyFont="1" applyFill="1" applyBorder="1" applyAlignment="1">
      <alignment horizontal="center" vertical="center"/>
    </xf>
    <xf numFmtId="164" fontId="7" fillId="2" borderId="15" xfId="1" applyFont="1" applyFill="1" applyBorder="1" applyAlignment="1">
      <alignment horizontal="center" vertical="center"/>
    </xf>
    <xf numFmtId="164" fontId="7" fillId="2" borderId="10" xfId="1" applyFont="1" applyFill="1" applyBorder="1" applyAlignment="1">
      <alignment horizontal="center" vertical="center"/>
    </xf>
    <xf numFmtId="0" fontId="3" fillId="0" borderId="0" xfId="1" applyNumberFormat="1" applyFont="1" applyAlignment="1">
      <alignment horizontal="left" vertical="center" wrapText="1"/>
    </xf>
    <xf numFmtId="0" fontId="7" fillId="2" borderId="1" xfId="1" applyNumberFormat="1" applyFont="1" applyFill="1" applyBorder="1" applyAlignment="1">
      <alignment horizontal="center" vertical="center"/>
    </xf>
    <xf numFmtId="0" fontId="7" fillId="2" borderId="4" xfId="1" applyNumberFormat="1" applyFont="1" applyFill="1" applyBorder="1" applyAlignment="1">
      <alignment horizontal="center" vertical="center"/>
    </xf>
    <xf numFmtId="164" fontId="7" fillId="2" borderId="2" xfId="1" applyFont="1" applyFill="1" applyBorder="1" applyAlignment="1">
      <alignment horizontal="center" vertical="center"/>
    </xf>
    <xf numFmtId="164" fontId="7" fillId="2" borderId="5" xfId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justify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165" fontId="8" fillId="2" borderId="16" xfId="0" applyNumberFormat="1" applyFont="1" applyFill="1" applyBorder="1" applyAlignment="1">
      <alignment horizontal="center" vertical="center"/>
    </xf>
    <xf numFmtId="165" fontId="8" fillId="2" borderId="18" xfId="0" applyNumberFormat="1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164" fontId="8" fillId="2" borderId="15" xfId="1" applyFont="1" applyFill="1" applyBorder="1" applyAlignment="1">
      <alignment horizontal="center" vertical="center"/>
    </xf>
    <xf numFmtId="164" fontId="8" fillId="2" borderId="17" xfId="1" applyFont="1" applyFill="1" applyBorder="1" applyAlignment="1">
      <alignment horizontal="center" vertical="center"/>
    </xf>
    <xf numFmtId="0" fontId="7" fillId="3" borderId="8" xfId="1" applyNumberFormat="1" applyFont="1" applyFill="1" applyBorder="1" applyAlignment="1">
      <alignment vertical="center"/>
    </xf>
    <xf numFmtId="0" fontId="2" fillId="3" borderId="10" xfId="1" applyNumberFormat="1" applyFont="1" applyFill="1" applyBorder="1" applyAlignment="1">
      <alignment vertical="center"/>
    </xf>
    <xf numFmtId="0" fontId="2" fillId="3" borderId="8" xfId="1" applyNumberFormat="1" applyFont="1" applyFill="1" applyBorder="1" applyAlignment="1">
      <alignment vertical="center"/>
    </xf>
    <xf numFmtId="0" fontId="7" fillId="3" borderId="15" xfId="1" applyNumberFormat="1" applyFont="1" applyFill="1" applyBorder="1" applyAlignment="1">
      <alignment vertical="center"/>
    </xf>
    <xf numFmtId="0" fontId="2" fillId="3" borderId="10" xfId="1" applyNumberFormat="1" applyFont="1" applyFill="1" applyBorder="1" applyAlignment="1">
      <alignment vertical="center" wrapText="1"/>
    </xf>
    <xf numFmtId="0" fontId="2" fillId="3" borderId="12" xfId="1" applyNumberFormat="1" applyFont="1" applyFill="1" applyBorder="1" applyAlignment="1">
      <alignment vertical="center" wrapText="1"/>
    </xf>
    <xf numFmtId="0" fontId="7" fillId="3" borderId="3" xfId="1" applyNumberFormat="1" applyFont="1" applyFill="1" applyBorder="1" applyAlignment="1">
      <alignment vertical="center"/>
    </xf>
    <xf numFmtId="0" fontId="2" fillId="3" borderId="12" xfId="1" applyNumberFormat="1" applyFont="1" applyFill="1" applyBorder="1" applyAlignment="1">
      <alignment vertical="center"/>
    </xf>
    <xf numFmtId="0" fontId="7" fillId="3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center"/>
    </xf>
    <xf numFmtId="0" fontId="7" fillId="3" borderId="3" xfId="0" applyFont="1" applyFill="1" applyBorder="1"/>
    <xf numFmtId="0" fontId="2" fillId="3" borderId="12" xfId="0" applyFont="1" applyFill="1" applyBorder="1" applyAlignment="1">
      <alignment vertical="top"/>
    </xf>
    <xf numFmtId="0" fontId="7" fillId="3" borderId="3" xfId="1" applyNumberFormat="1" applyFont="1" applyFill="1" applyBorder="1" applyAlignment="1"/>
    <xf numFmtId="0" fontId="2" fillId="3" borderId="23" xfId="1" applyNumberFormat="1" applyFont="1" applyFill="1" applyBorder="1" applyAlignment="1">
      <alignment vertical="top"/>
    </xf>
    <xf numFmtId="0" fontId="2" fillId="3" borderId="12" xfId="1" applyNumberFormat="1" applyFont="1" applyFill="1" applyBorder="1" applyAlignment="1">
      <alignment vertical="top"/>
    </xf>
    <xf numFmtId="0" fontId="7" fillId="3" borderId="0" xfId="1" applyNumberFormat="1" applyFont="1" applyFill="1" applyBorder="1" applyAlignment="1"/>
    <xf numFmtId="0" fontId="2" fillId="3" borderId="6" xfId="0" applyFont="1" applyFill="1" applyBorder="1" applyAlignment="1">
      <alignment vertical="top"/>
    </xf>
    <xf numFmtId="0" fontId="2" fillId="3" borderId="0" xfId="1" applyNumberFormat="1" applyFont="1" applyFill="1" applyBorder="1" applyAlignment="1">
      <alignment vertical="top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063F-CFA6-4199-9AC8-C45C404B71E8}">
  <dimension ref="B1:Q98"/>
  <sheetViews>
    <sheetView view="pageBreakPreview" topLeftCell="A38" zoomScale="50" zoomScaleNormal="100" zoomScaleSheetLayoutView="50" workbookViewId="0">
      <selection activeCell="K67" sqref="K67"/>
    </sheetView>
  </sheetViews>
  <sheetFormatPr defaultColWidth="8.77734375" defaultRowHeight="15" x14ac:dyDescent="0.3"/>
  <cols>
    <col min="1" max="1" width="8.77734375" style="2"/>
    <col min="2" max="2" width="6.77734375" style="2" customWidth="1"/>
    <col min="3" max="3" width="68.21875" style="2" customWidth="1"/>
    <col min="4" max="4" width="13.5546875" style="3" customWidth="1"/>
    <col min="5" max="5" width="13.5546875" style="2" customWidth="1"/>
    <col min="6" max="6" width="2.21875" style="2" customWidth="1"/>
    <col min="7" max="7" width="2.77734375" style="3" customWidth="1"/>
    <col min="8" max="8" width="2.21875" style="2" customWidth="1"/>
    <col min="9" max="9" width="2.21875" style="3" customWidth="1"/>
    <col min="10" max="13" width="16.109375" style="2" customWidth="1"/>
    <col min="14" max="16" width="4.5546875" style="2" customWidth="1"/>
    <col min="17" max="16384" width="8.77734375" style="2"/>
  </cols>
  <sheetData>
    <row r="1" spans="2:13" x14ac:dyDescent="0.3">
      <c r="B1" s="1"/>
    </row>
    <row r="2" spans="2:13" s="5" customFormat="1" ht="19.2" x14ac:dyDescent="0.3">
      <c r="B2" s="4" t="s">
        <v>0</v>
      </c>
      <c r="D2" s="6"/>
      <c r="G2" s="6"/>
      <c r="I2" s="6"/>
    </row>
    <row r="3" spans="2:13" s="5" customFormat="1" ht="19.2" x14ac:dyDescent="0.3">
      <c r="B3" s="155" t="s">
        <v>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</row>
    <row r="4" spans="2:13" s="5" customFormat="1" ht="19.2" x14ac:dyDescent="0.3"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</row>
    <row r="5" spans="2:13" s="8" customFormat="1" ht="16.8" x14ac:dyDescent="0.3">
      <c r="B5" s="7" t="s">
        <v>2</v>
      </c>
      <c r="D5" s="9"/>
      <c r="G5" s="9"/>
      <c r="I5" s="9"/>
    </row>
    <row r="6" spans="2:13" s="8" customFormat="1" ht="16.8" x14ac:dyDescent="0.3">
      <c r="B6" s="7" t="s">
        <v>3</v>
      </c>
      <c r="D6" s="9"/>
      <c r="G6" s="9"/>
      <c r="I6" s="9"/>
    </row>
    <row r="7" spans="2:13" s="8" customFormat="1" ht="16.8" x14ac:dyDescent="0.3">
      <c r="B7" s="7" t="s">
        <v>4</v>
      </c>
      <c r="D7" s="9"/>
      <c r="G7" s="9"/>
      <c r="I7" s="9"/>
    </row>
    <row r="8" spans="2:13" ht="12.45" customHeight="1" x14ac:dyDescent="0.3">
      <c r="B8" s="1"/>
    </row>
    <row r="9" spans="2:13" ht="12.45" customHeight="1" x14ac:dyDescent="0.3">
      <c r="B9" s="156" t="s">
        <v>5</v>
      </c>
      <c r="C9" s="158" t="s">
        <v>6</v>
      </c>
      <c r="D9" s="10" t="s">
        <v>7</v>
      </c>
      <c r="E9" s="160" t="s">
        <v>8</v>
      </c>
      <c r="F9" s="160"/>
      <c r="G9" s="160"/>
      <c r="H9" s="160"/>
      <c r="I9" s="160"/>
      <c r="J9" s="160"/>
      <c r="K9" s="10" t="s">
        <v>9</v>
      </c>
      <c r="L9" s="162" t="s">
        <v>10</v>
      </c>
      <c r="M9" s="162" t="s">
        <v>11</v>
      </c>
    </row>
    <row r="10" spans="2:13" ht="12.45" customHeight="1" thickBot="1" x14ac:dyDescent="0.35">
      <c r="B10" s="157"/>
      <c r="C10" s="159"/>
      <c r="D10" s="11" t="s">
        <v>12</v>
      </c>
      <c r="E10" s="161"/>
      <c r="F10" s="161"/>
      <c r="G10" s="161"/>
      <c r="H10" s="161"/>
      <c r="I10" s="161"/>
      <c r="J10" s="161"/>
      <c r="K10" s="11" t="s">
        <v>13</v>
      </c>
      <c r="L10" s="163"/>
      <c r="M10" s="163"/>
    </row>
    <row r="11" spans="2:13" ht="7.5" customHeight="1" thickTop="1" x14ac:dyDescent="0.3">
      <c r="B11" s="12"/>
      <c r="C11" s="13"/>
      <c r="D11" s="14"/>
      <c r="E11" s="15"/>
      <c r="F11" s="16"/>
      <c r="G11" s="14"/>
      <c r="H11" s="16"/>
      <c r="I11" s="14"/>
      <c r="J11" s="17"/>
      <c r="K11" s="16"/>
      <c r="L11" s="13"/>
      <c r="M11" s="13"/>
    </row>
    <row r="12" spans="2:13" x14ac:dyDescent="0.3">
      <c r="B12" s="12">
        <v>1</v>
      </c>
      <c r="C12" s="18" t="s">
        <v>14</v>
      </c>
      <c r="D12" s="14" t="s">
        <v>15</v>
      </c>
      <c r="E12" s="15">
        <v>3500000</v>
      </c>
      <c r="F12" s="19" t="s">
        <v>16</v>
      </c>
      <c r="G12" s="19">
        <v>2</v>
      </c>
      <c r="H12" s="19" t="s">
        <v>17</v>
      </c>
      <c r="I12" s="14" t="s">
        <v>18</v>
      </c>
      <c r="J12" s="17">
        <f>SUM(E12*G12)</f>
        <v>7000000</v>
      </c>
      <c r="K12" s="16">
        <f>SUM(J12*15%)</f>
        <v>1050000</v>
      </c>
      <c r="L12" s="13">
        <f>SUM(J12-K12)</f>
        <v>5950000</v>
      </c>
      <c r="M12" s="20">
        <f>B12</f>
        <v>1</v>
      </c>
    </row>
    <row r="13" spans="2:13" x14ac:dyDescent="0.3">
      <c r="B13" s="12"/>
      <c r="C13" s="21" t="s">
        <v>19</v>
      </c>
      <c r="D13" s="14"/>
      <c r="E13" s="22"/>
      <c r="F13" s="23"/>
      <c r="G13" s="24"/>
      <c r="H13" s="23"/>
      <c r="I13" s="24"/>
      <c r="J13" s="25"/>
      <c r="K13" s="23"/>
      <c r="L13" s="26"/>
      <c r="M13" s="26"/>
    </row>
    <row r="14" spans="2:13" x14ac:dyDescent="0.3">
      <c r="B14" s="27">
        <v>2</v>
      </c>
      <c r="C14" s="18" t="s">
        <v>20</v>
      </c>
      <c r="D14" s="28" t="s">
        <v>21</v>
      </c>
      <c r="E14" s="29">
        <v>2500000</v>
      </c>
      <c r="F14" s="19" t="s">
        <v>16</v>
      </c>
      <c r="G14" s="19">
        <v>2</v>
      </c>
      <c r="H14" s="19" t="s">
        <v>17</v>
      </c>
      <c r="I14" s="14" t="s">
        <v>18</v>
      </c>
      <c r="J14" s="17">
        <f t="shared" ref="J14" si="0">SUM(E14*G14)</f>
        <v>5000000</v>
      </c>
      <c r="K14" s="16">
        <f t="shared" ref="K14" si="1">SUM(J14*15%)</f>
        <v>750000</v>
      </c>
      <c r="L14" s="13">
        <f t="shared" ref="L14" si="2">SUM(J14-K14)</f>
        <v>4250000</v>
      </c>
      <c r="M14" s="20">
        <f>B14</f>
        <v>2</v>
      </c>
    </row>
    <row r="15" spans="2:13" x14ac:dyDescent="0.3">
      <c r="B15" s="30"/>
      <c r="C15" s="21" t="s">
        <v>22</v>
      </c>
      <c r="D15" s="24"/>
      <c r="E15" s="22"/>
      <c r="F15" s="23"/>
      <c r="G15" s="24"/>
      <c r="H15" s="23"/>
      <c r="I15" s="24"/>
      <c r="J15" s="25"/>
      <c r="K15" s="23"/>
      <c r="L15" s="26"/>
      <c r="M15" s="26"/>
    </row>
    <row r="16" spans="2:13" x14ac:dyDescent="0.3">
      <c r="B16" s="12">
        <v>3</v>
      </c>
      <c r="C16" s="18" t="s">
        <v>23</v>
      </c>
      <c r="D16" s="14" t="s">
        <v>24</v>
      </c>
      <c r="E16" s="15">
        <v>2000000</v>
      </c>
      <c r="F16" s="19" t="s">
        <v>16</v>
      </c>
      <c r="G16" s="19">
        <v>2</v>
      </c>
      <c r="H16" s="19" t="s">
        <v>17</v>
      </c>
      <c r="I16" s="14" t="s">
        <v>18</v>
      </c>
      <c r="J16" s="17">
        <f t="shared" ref="J16" si="3">SUM(E16*G16)</f>
        <v>4000000</v>
      </c>
      <c r="K16" s="16">
        <f t="shared" ref="K16" si="4">SUM(J16*15%)</f>
        <v>600000</v>
      </c>
      <c r="L16" s="13">
        <f t="shared" ref="L16" si="5">SUM(J16-K16)</f>
        <v>3400000</v>
      </c>
      <c r="M16" s="20">
        <f>B16</f>
        <v>3</v>
      </c>
    </row>
    <row r="17" spans="2:17" x14ac:dyDescent="0.3">
      <c r="B17" s="12"/>
      <c r="C17" s="31" t="s">
        <v>25</v>
      </c>
      <c r="D17" s="14"/>
      <c r="E17" s="15"/>
      <c r="F17" s="23"/>
      <c r="G17" s="24"/>
      <c r="H17" s="23"/>
      <c r="I17" s="24"/>
      <c r="J17" s="25"/>
      <c r="K17" s="23"/>
      <c r="L17" s="26"/>
      <c r="M17" s="26"/>
    </row>
    <row r="18" spans="2:17" x14ac:dyDescent="0.3">
      <c r="B18" s="27">
        <v>4</v>
      </c>
      <c r="C18" s="32" t="s">
        <v>26</v>
      </c>
      <c r="D18" s="28" t="s">
        <v>27</v>
      </c>
      <c r="E18" s="29">
        <v>1500000</v>
      </c>
      <c r="F18" s="33" t="s">
        <v>16</v>
      </c>
      <c r="G18" s="33">
        <v>2</v>
      </c>
      <c r="H18" s="33" t="s">
        <v>17</v>
      </c>
      <c r="I18" s="28" t="s">
        <v>18</v>
      </c>
      <c r="J18" s="34">
        <f t="shared" ref="J18" si="6">SUM(E18*G18)</f>
        <v>3000000</v>
      </c>
      <c r="K18" s="35">
        <f>SUM(J18*5%)</f>
        <v>150000</v>
      </c>
      <c r="L18" s="36">
        <f t="shared" ref="L18" si="7">SUM(J18-K18)</f>
        <v>2850000</v>
      </c>
      <c r="M18" s="37">
        <f>B18</f>
        <v>4</v>
      </c>
    </row>
    <row r="19" spans="2:17" ht="30" x14ac:dyDescent="0.3">
      <c r="B19" s="30"/>
      <c r="C19" s="38" t="s">
        <v>28</v>
      </c>
      <c r="D19" s="24"/>
      <c r="E19" s="22"/>
      <c r="F19" s="23"/>
      <c r="G19" s="24"/>
      <c r="H19" s="23"/>
      <c r="I19" s="24"/>
      <c r="J19" s="25"/>
      <c r="K19" s="23"/>
      <c r="L19" s="26"/>
      <c r="M19" s="26"/>
    </row>
    <row r="20" spans="2:17" x14ac:dyDescent="0.3">
      <c r="B20" s="12">
        <v>5</v>
      </c>
      <c r="C20" s="32" t="s">
        <v>29</v>
      </c>
      <c r="D20" s="39" t="s">
        <v>30</v>
      </c>
      <c r="E20" s="29">
        <v>1300000</v>
      </c>
      <c r="F20" s="33" t="s">
        <v>16</v>
      </c>
      <c r="G20" s="33">
        <v>2</v>
      </c>
      <c r="H20" s="33" t="s">
        <v>17</v>
      </c>
      <c r="I20" s="28" t="s">
        <v>18</v>
      </c>
      <c r="J20" s="34">
        <f t="shared" ref="J20" si="8">SUM(E20*G20)</f>
        <v>2600000</v>
      </c>
      <c r="K20" s="16">
        <f t="shared" ref="K20" si="9">SUM(J20*15%)</f>
        <v>390000</v>
      </c>
      <c r="L20" s="13">
        <f t="shared" ref="L20" si="10">SUM(J20-K20)</f>
        <v>2210000</v>
      </c>
      <c r="M20" s="20">
        <f>B20</f>
        <v>5</v>
      </c>
    </row>
    <row r="21" spans="2:17" x14ac:dyDescent="0.3">
      <c r="B21" s="30"/>
      <c r="C21" s="21" t="s">
        <v>31</v>
      </c>
      <c r="D21" s="40"/>
      <c r="E21" s="22"/>
      <c r="F21" s="23"/>
      <c r="G21" s="24"/>
      <c r="H21" s="23"/>
      <c r="I21" s="24"/>
      <c r="J21" s="25"/>
      <c r="K21" s="23"/>
      <c r="L21" s="26"/>
      <c r="M21" s="26"/>
    </row>
    <row r="22" spans="2:17" x14ac:dyDescent="0.3">
      <c r="B22" s="27">
        <v>6</v>
      </c>
      <c r="C22" s="18" t="s">
        <v>32</v>
      </c>
      <c r="D22" s="39" t="s">
        <v>30</v>
      </c>
      <c r="E22" s="29">
        <v>1300000</v>
      </c>
      <c r="F22" s="19" t="s">
        <v>16</v>
      </c>
      <c r="G22" s="19">
        <v>2</v>
      </c>
      <c r="H22" s="19" t="s">
        <v>17</v>
      </c>
      <c r="I22" s="14" t="s">
        <v>18</v>
      </c>
      <c r="J22" s="17">
        <f t="shared" ref="J22" si="11">SUM(E22*G22)</f>
        <v>2600000</v>
      </c>
      <c r="K22" s="16">
        <f t="shared" ref="K22" si="12">SUM(J22*15%)</f>
        <v>390000</v>
      </c>
      <c r="L22" s="13">
        <f t="shared" ref="L22" si="13">SUM(J22-K22)</f>
        <v>2210000</v>
      </c>
      <c r="M22" s="20">
        <f>B22</f>
        <v>6</v>
      </c>
    </row>
    <row r="23" spans="2:17" ht="30" x14ac:dyDescent="0.3">
      <c r="B23" s="30"/>
      <c r="C23" s="38" t="s">
        <v>33</v>
      </c>
      <c r="D23" s="40"/>
      <c r="E23" s="22"/>
      <c r="F23" s="23"/>
      <c r="G23" s="24"/>
      <c r="H23" s="23"/>
      <c r="I23" s="24"/>
      <c r="J23" s="25"/>
      <c r="K23" s="23"/>
      <c r="L23" s="26"/>
      <c r="M23" s="26"/>
    </row>
    <row r="24" spans="2:17" x14ac:dyDescent="0.3">
      <c r="B24" s="41">
        <v>7</v>
      </c>
      <c r="C24" s="18" t="s">
        <v>34</v>
      </c>
      <c r="D24" s="42" t="s">
        <v>30</v>
      </c>
      <c r="E24" s="15">
        <v>1300000</v>
      </c>
      <c r="F24" s="19" t="s">
        <v>16</v>
      </c>
      <c r="G24" s="19">
        <v>2</v>
      </c>
      <c r="H24" s="19" t="s">
        <v>17</v>
      </c>
      <c r="I24" s="14" t="s">
        <v>18</v>
      </c>
      <c r="J24" s="17">
        <f t="shared" ref="J24" si="14">SUM(E24*G24)</f>
        <v>2600000</v>
      </c>
      <c r="K24" s="16">
        <f t="shared" ref="K24" si="15">SUM(J24*15%)</f>
        <v>390000</v>
      </c>
      <c r="L24" s="13">
        <f t="shared" ref="L24" si="16">SUM(J24-K24)</f>
        <v>2210000</v>
      </c>
      <c r="M24" s="20">
        <f>B24</f>
        <v>7</v>
      </c>
    </row>
    <row r="25" spans="2:17" x14ac:dyDescent="0.3">
      <c r="B25" s="43"/>
      <c r="C25" s="21" t="s">
        <v>35</v>
      </c>
      <c r="D25" s="40"/>
      <c r="E25" s="22"/>
      <c r="F25" s="23"/>
      <c r="G25" s="24"/>
      <c r="H25" s="23"/>
      <c r="I25" s="24"/>
      <c r="J25" s="25"/>
      <c r="K25" s="23"/>
      <c r="L25" s="26"/>
      <c r="M25" s="26"/>
    </row>
    <row r="26" spans="2:17" x14ac:dyDescent="0.3">
      <c r="B26" s="41">
        <v>8</v>
      </c>
      <c r="C26" s="18" t="s">
        <v>36</v>
      </c>
      <c r="D26" s="42" t="s">
        <v>30</v>
      </c>
      <c r="E26" s="15">
        <v>1300000</v>
      </c>
      <c r="F26" s="19" t="s">
        <v>16</v>
      </c>
      <c r="G26" s="19">
        <v>2</v>
      </c>
      <c r="H26" s="19" t="s">
        <v>17</v>
      </c>
      <c r="I26" s="14" t="s">
        <v>18</v>
      </c>
      <c r="J26" s="17">
        <f t="shared" ref="J26" si="17">SUM(E26*G26)</f>
        <v>2600000</v>
      </c>
      <c r="K26" s="16">
        <f t="shared" ref="K26" si="18">SUM(J26*15%)</f>
        <v>390000</v>
      </c>
      <c r="L26" s="13">
        <f t="shared" ref="L26" si="19">SUM(J26-K26)</f>
        <v>2210000</v>
      </c>
      <c r="M26" s="20">
        <f>B26</f>
        <v>8</v>
      </c>
    </row>
    <row r="27" spans="2:17" ht="30" x14ac:dyDescent="0.3">
      <c r="B27" s="43"/>
      <c r="C27" s="38" t="s">
        <v>37</v>
      </c>
      <c r="D27" s="40"/>
      <c r="E27" s="22"/>
      <c r="F27" s="23"/>
      <c r="G27" s="24"/>
      <c r="H27" s="23"/>
      <c r="I27" s="24"/>
      <c r="J27" s="25"/>
      <c r="K27" s="23"/>
      <c r="L27" s="26"/>
      <c r="M27" s="26"/>
    </row>
    <row r="28" spans="2:17" x14ac:dyDescent="0.3">
      <c r="B28" s="44">
        <v>9</v>
      </c>
      <c r="C28" s="18" t="s">
        <v>38</v>
      </c>
      <c r="D28" s="42" t="s">
        <v>30</v>
      </c>
      <c r="E28" s="15">
        <v>1300000</v>
      </c>
      <c r="F28" s="19" t="s">
        <v>16</v>
      </c>
      <c r="G28" s="19">
        <v>2</v>
      </c>
      <c r="H28" s="19" t="s">
        <v>17</v>
      </c>
      <c r="I28" s="14" t="s">
        <v>18</v>
      </c>
      <c r="J28" s="17">
        <f t="shared" ref="J28" si="20">SUM(E28*G28)</f>
        <v>2600000</v>
      </c>
      <c r="K28" s="16">
        <f t="shared" ref="K28" si="21">SUM(J28*15%)</f>
        <v>390000</v>
      </c>
      <c r="L28" s="13">
        <f t="shared" ref="L28" si="22">SUM(J28-K28)</f>
        <v>2210000</v>
      </c>
      <c r="M28" s="37">
        <f>B28</f>
        <v>9</v>
      </c>
    </row>
    <row r="29" spans="2:17" s="23" customFormat="1" ht="35.25" customHeight="1" x14ac:dyDescent="0.3">
      <c r="B29" s="43"/>
      <c r="C29" s="45" t="s">
        <v>39</v>
      </c>
      <c r="D29" s="40"/>
      <c r="E29" s="22"/>
      <c r="G29" s="24"/>
      <c r="I29" s="24"/>
      <c r="J29" s="25"/>
      <c r="L29" s="26"/>
      <c r="M29" s="26"/>
      <c r="N29" s="16"/>
    </row>
    <row r="30" spans="2:17" x14ac:dyDescent="0.3">
      <c r="B30" s="44">
        <v>10</v>
      </c>
      <c r="C30" s="46" t="s">
        <v>40</v>
      </c>
      <c r="D30" s="42" t="s">
        <v>30</v>
      </c>
      <c r="E30" s="15">
        <v>1300000</v>
      </c>
      <c r="F30" s="19" t="s">
        <v>16</v>
      </c>
      <c r="G30" s="19">
        <v>2</v>
      </c>
      <c r="H30" s="19" t="s">
        <v>17</v>
      </c>
      <c r="I30" s="14" t="s">
        <v>18</v>
      </c>
      <c r="J30" s="17">
        <f t="shared" ref="J30" si="23">SUM(E30*G30)</f>
        <v>2600000</v>
      </c>
      <c r="K30" s="16">
        <f>SUM(J30*5%)</f>
        <v>130000</v>
      </c>
      <c r="L30" s="13">
        <f t="shared" ref="L30" si="24">SUM(J30-K30)</f>
        <v>2470000</v>
      </c>
      <c r="M30" s="20">
        <f>B30</f>
        <v>10</v>
      </c>
      <c r="N30" s="16"/>
    </row>
    <row r="31" spans="2:17" ht="20.25" customHeight="1" x14ac:dyDescent="0.3">
      <c r="B31" s="43"/>
      <c r="C31" s="45" t="s">
        <v>41</v>
      </c>
      <c r="D31" s="40"/>
      <c r="E31" s="22"/>
      <c r="F31" s="23"/>
      <c r="G31" s="24"/>
      <c r="H31" s="23"/>
      <c r="I31" s="24"/>
      <c r="J31" s="25"/>
      <c r="K31" s="23"/>
      <c r="L31" s="26"/>
      <c r="M31" s="26"/>
      <c r="N31" s="16"/>
    </row>
    <row r="32" spans="2:17" x14ac:dyDescent="0.3">
      <c r="B32" s="47">
        <v>11</v>
      </c>
      <c r="C32" s="48" t="s">
        <v>42</v>
      </c>
      <c r="D32" s="49" t="s">
        <v>30</v>
      </c>
      <c r="E32" s="50">
        <v>1300000</v>
      </c>
      <c r="F32" s="51" t="s">
        <v>16</v>
      </c>
      <c r="G32" s="51">
        <v>2</v>
      </c>
      <c r="H32" s="51" t="s">
        <v>17</v>
      </c>
      <c r="I32" s="52" t="s">
        <v>18</v>
      </c>
      <c r="J32" s="53">
        <f t="shared" ref="J32" si="25">SUM(E32*G32)</f>
        <v>2600000</v>
      </c>
      <c r="K32" s="54">
        <f t="shared" ref="K32" si="26">SUM(J32*15%)</f>
        <v>390000</v>
      </c>
      <c r="L32" s="55">
        <f t="shared" ref="L32" si="27">SUM(J32-K32)</f>
        <v>2210000</v>
      </c>
      <c r="M32" s="56">
        <f>B32</f>
        <v>11</v>
      </c>
      <c r="N32" s="54"/>
      <c r="O32" s="57"/>
      <c r="P32" s="57"/>
      <c r="Q32" s="57"/>
    </row>
    <row r="33" spans="2:17" ht="18.75" customHeight="1" x14ac:dyDescent="0.3">
      <c r="B33" s="58"/>
      <c r="C33" s="59" t="s">
        <v>43</v>
      </c>
      <c r="D33" s="60"/>
      <c r="E33" s="61"/>
      <c r="F33" s="62"/>
      <c r="G33" s="63"/>
      <c r="H33" s="62"/>
      <c r="I33" s="63"/>
      <c r="J33" s="64"/>
      <c r="K33" s="62"/>
      <c r="L33" s="65"/>
      <c r="M33" s="65"/>
      <c r="N33" s="57"/>
      <c r="O33" s="57"/>
      <c r="P33" s="57"/>
      <c r="Q33" s="57"/>
    </row>
    <row r="34" spans="2:17" x14ac:dyDescent="0.3">
      <c r="B34" s="41">
        <v>12</v>
      </c>
      <c r="C34" s="66" t="s">
        <v>44</v>
      </c>
      <c r="D34" s="39" t="s">
        <v>30</v>
      </c>
      <c r="E34" s="29">
        <v>1300000</v>
      </c>
      <c r="F34" s="33" t="s">
        <v>16</v>
      </c>
      <c r="G34" s="33">
        <v>2</v>
      </c>
      <c r="H34" s="33" t="s">
        <v>17</v>
      </c>
      <c r="I34" s="28" t="s">
        <v>18</v>
      </c>
      <c r="J34" s="34">
        <f t="shared" ref="J34" si="28">SUM(E34*G34)</f>
        <v>2600000</v>
      </c>
      <c r="K34" s="35">
        <f>SUM(J34*5%)</f>
        <v>130000</v>
      </c>
      <c r="L34" s="36">
        <f t="shared" ref="L34" si="29">SUM(J34-K34)</f>
        <v>2470000</v>
      </c>
      <c r="M34" s="20">
        <f>B34</f>
        <v>12</v>
      </c>
    </row>
    <row r="35" spans="2:17" x14ac:dyDescent="0.3">
      <c r="B35" s="41"/>
      <c r="C35" s="67" t="s">
        <v>45</v>
      </c>
      <c r="D35" s="40"/>
      <c r="E35" s="22"/>
      <c r="F35" s="23"/>
      <c r="G35" s="24"/>
      <c r="H35" s="23"/>
      <c r="I35" s="24"/>
      <c r="J35" s="25"/>
      <c r="K35" s="23"/>
      <c r="L35" s="26"/>
      <c r="M35" s="26"/>
    </row>
    <row r="36" spans="2:17" x14ac:dyDescent="0.3">
      <c r="B36" s="44">
        <v>13</v>
      </c>
      <c r="C36" s="46" t="s">
        <v>46</v>
      </c>
      <c r="D36" s="39" t="s">
        <v>30</v>
      </c>
      <c r="E36" s="29">
        <v>1300000</v>
      </c>
      <c r="F36" s="33" t="s">
        <v>16</v>
      </c>
      <c r="G36" s="33">
        <v>2</v>
      </c>
      <c r="H36" s="33" t="s">
        <v>17</v>
      </c>
      <c r="I36" s="28" t="s">
        <v>18</v>
      </c>
      <c r="J36" s="34">
        <f t="shared" ref="J36" si="30">SUM(E36*G36)</f>
        <v>2600000</v>
      </c>
      <c r="K36" s="35">
        <f t="shared" ref="K36" si="31">SUM(J36*5%)</f>
        <v>130000</v>
      </c>
      <c r="L36" s="36">
        <f t="shared" ref="L36" si="32">SUM(J36-K36)</f>
        <v>2470000</v>
      </c>
      <c r="M36" s="20">
        <f>B36</f>
        <v>13</v>
      </c>
    </row>
    <row r="37" spans="2:17" x14ac:dyDescent="0.3">
      <c r="B37" s="43"/>
      <c r="C37" s="68" t="s">
        <v>47</v>
      </c>
      <c r="D37" s="40"/>
      <c r="E37" s="22"/>
      <c r="F37" s="23"/>
      <c r="G37" s="24"/>
      <c r="H37" s="23"/>
      <c r="I37" s="24"/>
      <c r="J37" s="25"/>
      <c r="K37" s="23"/>
      <c r="L37" s="26"/>
      <c r="M37" s="26"/>
    </row>
    <row r="38" spans="2:17" x14ac:dyDescent="0.3">
      <c r="B38" s="41">
        <v>14</v>
      </c>
      <c r="C38" s="66" t="s">
        <v>48</v>
      </c>
      <c r="D38" s="39" t="s">
        <v>30</v>
      </c>
      <c r="E38" s="29">
        <v>1300000</v>
      </c>
      <c r="F38" s="33" t="s">
        <v>16</v>
      </c>
      <c r="G38" s="33">
        <v>2</v>
      </c>
      <c r="H38" s="33" t="s">
        <v>17</v>
      </c>
      <c r="I38" s="28" t="s">
        <v>18</v>
      </c>
      <c r="J38" s="34">
        <f t="shared" ref="J38" si="33">SUM(E38*G38)</f>
        <v>2600000</v>
      </c>
      <c r="K38" s="35">
        <f t="shared" ref="K38" si="34">SUM(J38*5%)</f>
        <v>130000</v>
      </c>
      <c r="L38" s="36">
        <f t="shared" ref="L38" si="35">SUM(J38-K38)</f>
        <v>2470000</v>
      </c>
      <c r="M38" s="20">
        <f>B38</f>
        <v>14</v>
      </c>
    </row>
    <row r="39" spans="2:17" x14ac:dyDescent="0.3">
      <c r="B39" s="43"/>
      <c r="C39" s="67" t="s">
        <v>49</v>
      </c>
      <c r="D39" s="40"/>
      <c r="E39" s="22"/>
      <c r="F39" s="23"/>
      <c r="G39" s="24"/>
      <c r="H39" s="23"/>
      <c r="I39" s="24"/>
      <c r="J39" s="25"/>
      <c r="K39" s="23"/>
      <c r="L39" s="26"/>
      <c r="M39" s="26"/>
    </row>
    <row r="40" spans="2:17" x14ac:dyDescent="0.3">
      <c r="B40" s="41">
        <v>15</v>
      </c>
      <c r="C40" s="66" t="s">
        <v>50</v>
      </c>
      <c r="D40" s="39" t="s">
        <v>30</v>
      </c>
      <c r="E40" s="29">
        <v>1300000</v>
      </c>
      <c r="F40" s="33" t="s">
        <v>16</v>
      </c>
      <c r="G40" s="33">
        <v>2</v>
      </c>
      <c r="H40" s="33" t="s">
        <v>17</v>
      </c>
      <c r="I40" s="28" t="s">
        <v>18</v>
      </c>
      <c r="J40" s="34">
        <f t="shared" ref="J40" si="36">SUM(E40*G40)</f>
        <v>2600000</v>
      </c>
      <c r="K40" s="35">
        <f t="shared" ref="K40" si="37">SUM(J40*5%)</f>
        <v>130000</v>
      </c>
      <c r="L40" s="36">
        <f t="shared" ref="L40" si="38">SUM(J40-K40)</f>
        <v>2470000</v>
      </c>
      <c r="M40" s="37">
        <f>B40</f>
        <v>15</v>
      </c>
    </row>
    <row r="41" spans="2:17" x14ac:dyDescent="0.3">
      <c r="B41" s="43"/>
      <c r="C41" s="67" t="s">
        <v>51</v>
      </c>
      <c r="D41" s="40"/>
      <c r="E41" s="22"/>
      <c r="F41" s="23"/>
      <c r="G41" s="24"/>
      <c r="H41" s="23"/>
      <c r="I41" s="24"/>
      <c r="J41" s="25"/>
      <c r="K41" s="23"/>
      <c r="L41" s="26"/>
      <c r="M41" s="26"/>
      <c r="N41" s="16"/>
    </row>
    <row r="42" spans="2:17" x14ac:dyDescent="0.3">
      <c r="B42" s="44">
        <v>16</v>
      </c>
      <c r="C42" s="66" t="s">
        <v>52</v>
      </c>
      <c r="D42" s="39" t="s">
        <v>30</v>
      </c>
      <c r="E42" s="29">
        <v>1300000</v>
      </c>
      <c r="F42" s="33" t="s">
        <v>16</v>
      </c>
      <c r="G42" s="33">
        <v>2</v>
      </c>
      <c r="H42" s="33" t="s">
        <v>17</v>
      </c>
      <c r="I42" s="28" t="s">
        <v>18</v>
      </c>
      <c r="J42" s="34">
        <f t="shared" ref="J42" si="39">SUM(E42*G42)</f>
        <v>2600000</v>
      </c>
      <c r="K42" s="35">
        <f t="shared" ref="K42" si="40">SUM(J42*5%)</f>
        <v>130000</v>
      </c>
      <c r="L42" s="36">
        <f t="shared" ref="L42" si="41">SUM(J42-K42)</f>
        <v>2470000</v>
      </c>
      <c r="M42" s="20">
        <f>B42</f>
        <v>16</v>
      </c>
      <c r="N42" s="16"/>
    </row>
    <row r="43" spans="2:17" x14ac:dyDescent="0.3">
      <c r="B43" s="43"/>
      <c r="C43" s="67" t="s">
        <v>53</v>
      </c>
      <c r="D43" s="40"/>
      <c r="E43" s="22"/>
      <c r="F43" s="23"/>
      <c r="G43" s="24"/>
      <c r="H43" s="23"/>
      <c r="I43" s="24"/>
      <c r="J43" s="25"/>
      <c r="K43" s="23"/>
      <c r="L43" s="26"/>
      <c r="M43" s="26"/>
      <c r="N43" s="16"/>
    </row>
    <row r="44" spans="2:17" x14ac:dyDescent="0.3">
      <c r="B44" s="41">
        <v>17</v>
      </c>
      <c r="C44" s="66" t="s">
        <v>54</v>
      </c>
      <c r="D44" s="39" t="s">
        <v>30</v>
      </c>
      <c r="E44" s="29">
        <v>1300000</v>
      </c>
      <c r="F44" s="33" t="s">
        <v>16</v>
      </c>
      <c r="G44" s="33">
        <v>2</v>
      </c>
      <c r="H44" s="33" t="s">
        <v>17</v>
      </c>
      <c r="I44" s="28" t="s">
        <v>18</v>
      </c>
      <c r="J44" s="34">
        <f t="shared" ref="J44" si="42">SUM(E44*G44)</f>
        <v>2600000</v>
      </c>
      <c r="K44" s="35">
        <f t="shared" ref="K44" si="43">SUM(J44*5%)</f>
        <v>130000</v>
      </c>
      <c r="L44" s="36">
        <f t="shared" ref="L44" si="44">SUM(J44-K44)</f>
        <v>2470000</v>
      </c>
      <c r="M44" s="20">
        <f>B44</f>
        <v>17</v>
      </c>
    </row>
    <row r="45" spans="2:17" x14ac:dyDescent="0.3">
      <c r="B45" s="43"/>
      <c r="C45" s="67" t="s">
        <v>55</v>
      </c>
      <c r="D45" s="40"/>
      <c r="E45" s="22"/>
      <c r="F45" s="23"/>
      <c r="G45" s="24"/>
      <c r="H45" s="23"/>
      <c r="I45" s="24"/>
      <c r="J45" s="25"/>
      <c r="K45" s="23"/>
      <c r="L45" s="26"/>
      <c r="M45" s="26"/>
    </row>
    <row r="46" spans="2:17" x14ac:dyDescent="0.3">
      <c r="B46" s="41">
        <v>18</v>
      </c>
      <c r="C46" s="66" t="s">
        <v>56</v>
      </c>
      <c r="D46" s="39" t="s">
        <v>30</v>
      </c>
      <c r="E46" s="29">
        <v>1300000</v>
      </c>
      <c r="F46" s="33" t="s">
        <v>16</v>
      </c>
      <c r="G46" s="33">
        <v>2</v>
      </c>
      <c r="H46" s="33" t="s">
        <v>17</v>
      </c>
      <c r="I46" s="28" t="s">
        <v>18</v>
      </c>
      <c r="J46" s="34">
        <f t="shared" ref="J46" si="45">SUM(E46*G46)</f>
        <v>2600000</v>
      </c>
      <c r="K46" s="35">
        <f t="shared" ref="K46" si="46">SUM(J46*5%)</f>
        <v>130000</v>
      </c>
      <c r="L46" s="36">
        <f t="shared" ref="L46" si="47">SUM(J46-K46)</f>
        <v>2470000</v>
      </c>
      <c r="M46" s="20">
        <f>B46</f>
        <v>18</v>
      </c>
    </row>
    <row r="47" spans="2:17" x14ac:dyDescent="0.3">
      <c r="B47" s="43"/>
      <c r="C47" s="67" t="s">
        <v>57</v>
      </c>
      <c r="D47" s="40"/>
      <c r="E47" s="22"/>
      <c r="F47" s="23"/>
      <c r="G47" s="24"/>
      <c r="H47" s="23"/>
      <c r="I47" s="24"/>
      <c r="J47" s="25"/>
      <c r="K47" s="23"/>
      <c r="L47" s="26"/>
      <c r="M47" s="26"/>
    </row>
    <row r="48" spans="2:17" x14ac:dyDescent="0.3">
      <c r="B48" s="41">
        <v>19</v>
      </c>
      <c r="C48" s="66" t="s">
        <v>58</v>
      </c>
      <c r="D48" s="39" t="s">
        <v>30</v>
      </c>
      <c r="E48" s="29">
        <v>1300000</v>
      </c>
      <c r="F48" s="33" t="s">
        <v>16</v>
      </c>
      <c r="G48" s="33">
        <v>2</v>
      </c>
      <c r="H48" s="33" t="s">
        <v>17</v>
      </c>
      <c r="I48" s="28" t="s">
        <v>18</v>
      </c>
      <c r="J48" s="34">
        <f t="shared" ref="J48" si="48">SUM(E48*G48)</f>
        <v>2600000</v>
      </c>
      <c r="K48" s="35">
        <f t="shared" ref="K48" si="49">SUM(J48*5%)</f>
        <v>130000</v>
      </c>
      <c r="L48" s="36">
        <f t="shared" ref="L48" si="50">SUM(J48-K48)</f>
        <v>2470000</v>
      </c>
      <c r="M48" s="20">
        <f>B48</f>
        <v>19</v>
      </c>
    </row>
    <row r="49" spans="2:13" x14ac:dyDescent="0.3">
      <c r="B49" s="43"/>
      <c r="C49" s="67" t="s">
        <v>57</v>
      </c>
      <c r="D49" s="40"/>
      <c r="E49" s="22"/>
      <c r="F49" s="23"/>
      <c r="G49" s="24"/>
      <c r="H49" s="23"/>
      <c r="I49" s="24"/>
      <c r="J49" s="25"/>
      <c r="K49" s="23"/>
      <c r="L49" s="26"/>
      <c r="M49" s="26"/>
    </row>
    <row r="50" spans="2:13" x14ac:dyDescent="0.3">
      <c r="B50" s="44">
        <v>20</v>
      </c>
      <c r="C50" s="66" t="s">
        <v>59</v>
      </c>
      <c r="D50" s="39" t="s">
        <v>30</v>
      </c>
      <c r="E50" s="29">
        <v>1300000</v>
      </c>
      <c r="F50" s="33" t="s">
        <v>16</v>
      </c>
      <c r="G50" s="33">
        <v>2</v>
      </c>
      <c r="H50" s="33" t="s">
        <v>17</v>
      </c>
      <c r="I50" s="28" t="s">
        <v>18</v>
      </c>
      <c r="J50" s="34">
        <f t="shared" ref="J50" si="51">SUM(E50*G50)</f>
        <v>2600000</v>
      </c>
      <c r="K50" s="35">
        <f t="shared" ref="K50" si="52">SUM(J50*5%)</f>
        <v>130000</v>
      </c>
      <c r="L50" s="36">
        <f t="shared" ref="L50" si="53">SUM(J50-K50)</f>
        <v>2470000</v>
      </c>
      <c r="M50" s="20">
        <f>B50</f>
        <v>20</v>
      </c>
    </row>
    <row r="51" spans="2:13" x14ac:dyDescent="0.3">
      <c r="B51" s="43"/>
      <c r="C51" s="67" t="s">
        <v>60</v>
      </c>
      <c r="D51" s="40"/>
      <c r="E51" s="22"/>
      <c r="F51" s="23"/>
      <c r="G51" s="24"/>
      <c r="H51" s="23"/>
      <c r="I51" s="24"/>
      <c r="J51" s="25"/>
      <c r="K51" s="23"/>
      <c r="L51" s="26"/>
      <c r="M51" s="26"/>
    </row>
    <row r="52" spans="2:13" x14ac:dyDescent="0.3">
      <c r="B52" s="41">
        <v>21</v>
      </c>
      <c r="C52" s="46" t="s">
        <v>61</v>
      </c>
      <c r="D52" s="39" t="s">
        <v>30</v>
      </c>
      <c r="E52" s="29">
        <v>1300000</v>
      </c>
      <c r="F52" s="33" t="s">
        <v>16</v>
      </c>
      <c r="G52" s="33">
        <v>2</v>
      </c>
      <c r="H52" s="33" t="s">
        <v>17</v>
      </c>
      <c r="I52" s="28" t="s">
        <v>18</v>
      </c>
      <c r="J52" s="34">
        <f t="shared" ref="J52" si="54">SUM(E52*G52)</f>
        <v>2600000</v>
      </c>
      <c r="K52" s="35">
        <f t="shared" ref="K52" si="55">SUM(J52*5%)</f>
        <v>130000</v>
      </c>
      <c r="L52" s="36">
        <f t="shared" ref="L52" si="56">SUM(J52-K52)</f>
        <v>2470000</v>
      </c>
      <c r="M52" s="20">
        <f>B52</f>
        <v>21</v>
      </c>
    </row>
    <row r="53" spans="2:13" x14ac:dyDescent="0.3">
      <c r="B53" s="43"/>
      <c r="C53" s="67" t="s">
        <v>62</v>
      </c>
      <c r="D53" s="40"/>
      <c r="E53" s="22"/>
      <c r="F53" s="23"/>
      <c r="G53" s="24"/>
      <c r="H53" s="23"/>
      <c r="I53" s="24"/>
      <c r="J53" s="25"/>
      <c r="K53" s="23"/>
      <c r="L53" s="26"/>
      <c r="M53" s="26"/>
    </row>
    <row r="54" spans="2:13" x14ac:dyDescent="0.3">
      <c r="B54" s="41">
        <v>22</v>
      </c>
      <c r="C54" s="46" t="s">
        <v>63</v>
      </c>
      <c r="D54" s="42" t="s">
        <v>30</v>
      </c>
      <c r="E54" s="15">
        <v>1300000</v>
      </c>
      <c r="F54" s="33" t="s">
        <v>16</v>
      </c>
      <c r="G54" s="33">
        <v>2</v>
      </c>
      <c r="H54" s="33" t="s">
        <v>17</v>
      </c>
      <c r="I54" s="28" t="s">
        <v>18</v>
      </c>
      <c r="J54" s="34">
        <f t="shared" ref="J54" si="57">SUM(E54*G54)</f>
        <v>2600000</v>
      </c>
      <c r="K54" s="35">
        <f t="shared" ref="K54" si="58">SUM(J54*5%)</f>
        <v>130000</v>
      </c>
      <c r="L54" s="36">
        <f t="shared" ref="L54" si="59">SUM(J54-K54)</f>
        <v>2470000</v>
      </c>
      <c r="M54" s="20">
        <f>B54</f>
        <v>22</v>
      </c>
    </row>
    <row r="55" spans="2:13" x14ac:dyDescent="0.3">
      <c r="B55" s="43"/>
      <c r="C55" s="69" t="s">
        <v>64</v>
      </c>
      <c r="D55" s="40"/>
      <c r="E55" s="22"/>
      <c r="F55" s="23"/>
      <c r="G55" s="24"/>
      <c r="H55" s="23"/>
      <c r="I55" s="24"/>
      <c r="J55" s="25"/>
      <c r="K55" s="23"/>
      <c r="L55" s="26"/>
      <c r="M55" s="26"/>
    </row>
    <row r="56" spans="2:13" x14ac:dyDescent="0.3">
      <c r="B56" s="41">
        <v>23</v>
      </c>
      <c r="C56" s="46" t="s">
        <v>65</v>
      </c>
      <c r="D56" s="39" t="s">
        <v>30</v>
      </c>
      <c r="E56" s="29">
        <v>1300000</v>
      </c>
      <c r="F56" s="33" t="s">
        <v>16</v>
      </c>
      <c r="G56" s="33">
        <v>2</v>
      </c>
      <c r="H56" s="33" t="s">
        <v>17</v>
      </c>
      <c r="I56" s="28" t="s">
        <v>18</v>
      </c>
      <c r="J56" s="34">
        <f t="shared" ref="J56" si="60">SUM(E56*G56)</f>
        <v>2600000</v>
      </c>
      <c r="K56" s="35">
        <f t="shared" ref="K56" si="61">SUM(J56*5%)</f>
        <v>130000</v>
      </c>
      <c r="L56" s="36">
        <f t="shared" ref="L56" si="62">SUM(J56-K56)</f>
        <v>2470000</v>
      </c>
      <c r="M56" s="20">
        <f>B56</f>
        <v>23</v>
      </c>
    </row>
    <row r="57" spans="2:13" x14ac:dyDescent="0.3">
      <c r="B57" s="43"/>
      <c r="C57" s="21" t="s">
        <v>66</v>
      </c>
      <c r="D57" s="40"/>
      <c r="E57" s="22"/>
      <c r="F57" s="23"/>
      <c r="G57" s="24"/>
      <c r="H57" s="23"/>
      <c r="I57" s="24"/>
      <c r="J57" s="25"/>
      <c r="K57" s="23"/>
      <c r="L57" s="26"/>
      <c r="M57" s="26"/>
    </row>
    <row r="58" spans="2:13" ht="13.5" customHeight="1" x14ac:dyDescent="0.3">
      <c r="B58" s="44">
        <v>24</v>
      </c>
      <c r="C58" s="46" t="s">
        <v>67</v>
      </c>
      <c r="D58" s="39" t="s">
        <v>30</v>
      </c>
      <c r="E58" s="29">
        <v>1300000</v>
      </c>
      <c r="F58" s="33" t="s">
        <v>16</v>
      </c>
      <c r="G58" s="33">
        <v>2</v>
      </c>
      <c r="H58" s="33" t="s">
        <v>17</v>
      </c>
      <c r="I58" s="28" t="s">
        <v>18</v>
      </c>
      <c r="J58" s="34">
        <f t="shared" ref="J58" si="63">SUM(E58*G58)</f>
        <v>2600000</v>
      </c>
      <c r="K58" s="35">
        <f t="shared" ref="K58" si="64">SUM(J58*5%)</f>
        <v>130000</v>
      </c>
      <c r="L58" s="36">
        <f t="shared" ref="L58" si="65">SUM(J58-K58)</f>
        <v>2470000</v>
      </c>
      <c r="M58" s="20">
        <f>B58</f>
        <v>24</v>
      </c>
    </row>
    <row r="59" spans="2:13" ht="13.5" customHeight="1" x14ac:dyDescent="0.3">
      <c r="B59" s="43"/>
      <c r="C59" s="69" t="s">
        <v>68</v>
      </c>
      <c r="D59" s="40"/>
      <c r="E59" s="22"/>
      <c r="F59" s="23"/>
      <c r="G59" s="24"/>
      <c r="H59" s="23"/>
      <c r="I59" s="24"/>
      <c r="J59" s="25"/>
      <c r="K59" s="23"/>
      <c r="L59" s="26"/>
      <c r="M59" s="26"/>
    </row>
    <row r="60" spans="2:13" ht="13.5" customHeight="1" x14ac:dyDescent="0.3">
      <c r="B60" s="44">
        <v>25</v>
      </c>
      <c r="C60" s="46" t="s">
        <v>69</v>
      </c>
      <c r="D60" s="39" t="s">
        <v>30</v>
      </c>
      <c r="E60" s="29">
        <v>1300000</v>
      </c>
      <c r="F60" s="33" t="s">
        <v>16</v>
      </c>
      <c r="G60" s="33">
        <v>2</v>
      </c>
      <c r="H60" s="33" t="s">
        <v>17</v>
      </c>
      <c r="I60" s="28" t="s">
        <v>18</v>
      </c>
      <c r="J60" s="34">
        <f t="shared" ref="J60" si="66">SUM(E60*G60)</f>
        <v>2600000</v>
      </c>
      <c r="K60" s="35">
        <f t="shared" ref="K60:K62" si="67">SUM(J60*5%)</f>
        <v>130000</v>
      </c>
      <c r="L60" s="36">
        <f t="shared" ref="L60" si="68">SUM(J60-K60)</f>
        <v>2470000</v>
      </c>
      <c r="M60" s="20">
        <f>B60</f>
        <v>25</v>
      </c>
    </row>
    <row r="61" spans="2:13" ht="13.5" customHeight="1" x14ac:dyDescent="0.3">
      <c r="B61" s="41"/>
      <c r="C61" s="68" t="s">
        <v>70</v>
      </c>
      <c r="D61" s="40"/>
      <c r="E61" s="22"/>
      <c r="F61" s="23"/>
      <c r="G61" s="24"/>
      <c r="H61" s="23"/>
      <c r="I61" s="24"/>
      <c r="J61" s="25"/>
      <c r="K61" s="23"/>
      <c r="L61" s="26"/>
      <c r="M61" s="26"/>
    </row>
    <row r="62" spans="2:13" ht="13.5" customHeight="1" x14ac:dyDescent="0.3">
      <c r="B62" s="44">
        <v>26</v>
      </c>
      <c r="C62" s="66" t="s">
        <v>71</v>
      </c>
      <c r="D62" s="39" t="s">
        <v>30</v>
      </c>
      <c r="E62" s="29">
        <v>1300000</v>
      </c>
      <c r="F62" s="33" t="s">
        <v>16</v>
      </c>
      <c r="G62" s="33">
        <v>2</v>
      </c>
      <c r="H62" s="33" t="s">
        <v>17</v>
      </c>
      <c r="I62" s="28" t="s">
        <v>18</v>
      </c>
      <c r="J62" s="34">
        <f t="shared" ref="J62" si="69">SUM(E62*G62)</f>
        <v>2600000</v>
      </c>
      <c r="K62" s="35">
        <f t="shared" si="67"/>
        <v>130000</v>
      </c>
      <c r="L62" s="36">
        <f t="shared" ref="L62" si="70">SUM(J62-K62)</f>
        <v>2470000</v>
      </c>
      <c r="M62" s="20">
        <f>B62</f>
        <v>26</v>
      </c>
    </row>
    <row r="63" spans="2:13" ht="13.5" customHeight="1" x14ac:dyDescent="0.3">
      <c r="B63" s="43"/>
      <c r="C63" s="67" t="s">
        <v>72</v>
      </c>
      <c r="D63" s="40"/>
      <c r="E63" s="22"/>
      <c r="F63" s="23"/>
      <c r="G63" s="24"/>
      <c r="H63" s="23"/>
      <c r="I63" s="24"/>
      <c r="J63" s="25"/>
      <c r="K63" s="23"/>
      <c r="L63" s="26"/>
      <c r="M63" s="26"/>
    </row>
    <row r="64" spans="2:13" ht="13.5" customHeight="1" x14ac:dyDescent="0.3">
      <c r="B64" s="41">
        <v>27</v>
      </c>
      <c r="C64" s="46" t="s">
        <v>73</v>
      </c>
      <c r="D64" s="39" t="s">
        <v>30</v>
      </c>
      <c r="E64" s="29">
        <v>1300000</v>
      </c>
      <c r="F64" s="33" t="s">
        <v>16</v>
      </c>
      <c r="G64" s="33">
        <v>2</v>
      </c>
      <c r="H64" s="33" t="s">
        <v>17</v>
      </c>
      <c r="I64" s="28" t="s">
        <v>18</v>
      </c>
      <c r="J64" s="34">
        <f t="shared" ref="J64" si="71">SUM(E64*G64)</f>
        <v>2600000</v>
      </c>
      <c r="K64" s="35">
        <f>SUM(J64*5%)</f>
        <v>130000</v>
      </c>
      <c r="L64" s="36">
        <f t="shared" ref="L64" si="72">SUM(J64-K64)</f>
        <v>2470000</v>
      </c>
      <c r="M64" s="20">
        <f>B64</f>
        <v>27</v>
      </c>
    </row>
    <row r="65" spans="2:13" ht="13.5" customHeight="1" x14ac:dyDescent="0.3">
      <c r="B65" s="13"/>
      <c r="C65" s="68" t="s">
        <v>72</v>
      </c>
      <c r="D65" s="40"/>
      <c r="E65" s="22"/>
      <c r="F65" s="23"/>
      <c r="G65" s="24"/>
      <c r="H65" s="23"/>
      <c r="I65" s="24"/>
      <c r="J65" s="25"/>
      <c r="K65" s="23"/>
      <c r="L65" s="26"/>
      <c r="M65" s="26"/>
    </row>
    <row r="66" spans="2:13" ht="13.5" customHeight="1" x14ac:dyDescent="0.3">
      <c r="B66" s="44">
        <v>28</v>
      </c>
      <c r="C66" s="70" t="s">
        <v>74</v>
      </c>
      <c r="D66" s="39" t="s">
        <v>30</v>
      </c>
      <c r="E66" s="29">
        <v>1300000</v>
      </c>
      <c r="F66" s="33" t="s">
        <v>16</v>
      </c>
      <c r="G66" s="33">
        <v>2</v>
      </c>
      <c r="H66" s="33" t="s">
        <v>17</v>
      </c>
      <c r="I66" s="28" t="s">
        <v>18</v>
      </c>
      <c r="J66" s="34">
        <f t="shared" ref="J66" si="73">SUM(E66*G66)</f>
        <v>2600000</v>
      </c>
      <c r="K66" s="35">
        <f>SUM(J66*5%)</f>
        <v>130000</v>
      </c>
      <c r="L66" s="36">
        <f t="shared" ref="L66" si="74">SUM(J66-K66)</f>
        <v>2470000</v>
      </c>
      <c r="M66" s="20">
        <f>B66</f>
        <v>28</v>
      </c>
    </row>
    <row r="67" spans="2:13" ht="13.5" customHeight="1" x14ac:dyDescent="0.3">
      <c r="B67" s="43"/>
      <c r="C67" s="69" t="s">
        <v>72</v>
      </c>
      <c r="D67" s="40"/>
      <c r="E67" s="22"/>
      <c r="F67" s="23"/>
      <c r="G67" s="24"/>
      <c r="H67" s="23"/>
      <c r="I67" s="24"/>
      <c r="J67" s="25"/>
      <c r="K67" s="23"/>
      <c r="L67" s="26"/>
      <c r="M67" s="26"/>
    </row>
    <row r="68" spans="2:13" ht="13.5" customHeight="1" x14ac:dyDescent="0.3">
      <c r="B68" s="44">
        <v>29</v>
      </c>
      <c r="C68" s="70" t="s">
        <v>75</v>
      </c>
      <c r="D68" s="39" t="s">
        <v>30</v>
      </c>
      <c r="E68" s="29">
        <v>1300000</v>
      </c>
      <c r="F68" s="33" t="s">
        <v>16</v>
      </c>
      <c r="G68" s="33">
        <v>2</v>
      </c>
      <c r="H68" s="33" t="s">
        <v>17</v>
      </c>
      <c r="I68" s="28" t="s">
        <v>18</v>
      </c>
      <c r="J68" s="34">
        <f t="shared" ref="J68" si="75">SUM(E68*G68)</f>
        <v>2600000</v>
      </c>
      <c r="K68" s="35">
        <f>SUM(J68*5%)</f>
        <v>130000</v>
      </c>
      <c r="L68" s="36">
        <f t="shared" ref="L68" si="76">SUM(J68-K68)</f>
        <v>2470000</v>
      </c>
      <c r="M68" s="20">
        <f>B68</f>
        <v>29</v>
      </c>
    </row>
    <row r="69" spans="2:13" ht="13.5" customHeight="1" x14ac:dyDescent="0.3">
      <c r="B69" s="41"/>
      <c r="C69" s="69" t="s">
        <v>76</v>
      </c>
      <c r="D69" s="40"/>
      <c r="E69" s="22"/>
      <c r="F69" s="23"/>
      <c r="G69" s="24"/>
      <c r="H69" s="23"/>
      <c r="I69" s="24"/>
      <c r="J69" s="25"/>
      <c r="K69" s="23"/>
      <c r="L69" s="26"/>
      <c r="M69" s="26"/>
    </row>
    <row r="70" spans="2:13" ht="13.5" customHeight="1" x14ac:dyDescent="0.3">
      <c r="B70" s="44">
        <v>30</v>
      </c>
      <c r="C70" s="46" t="s">
        <v>77</v>
      </c>
      <c r="D70" s="39" t="s">
        <v>30</v>
      </c>
      <c r="E70" s="29">
        <v>1300000</v>
      </c>
      <c r="F70" s="33" t="s">
        <v>16</v>
      </c>
      <c r="G70" s="33">
        <v>2</v>
      </c>
      <c r="H70" s="33" t="s">
        <v>17</v>
      </c>
      <c r="I70" s="28" t="s">
        <v>18</v>
      </c>
      <c r="J70" s="34">
        <f t="shared" ref="J70" si="77">SUM(E70*G70)</f>
        <v>2600000</v>
      </c>
      <c r="K70" s="35">
        <v>0</v>
      </c>
      <c r="L70" s="36">
        <f t="shared" ref="L70" si="78">SUM(J70-K70)</f>
        <v>2600000</v>
      </c>
      <c r="M70" s="20">
        <f>B70</f>
        <v>30</v>
      </c>
    </row>
    <row r="71" spans="2:13" ht="13.5" customHeight="1" x14ac:dyDescent="0.3">
      <c r="B71" s="43"/>
      <c r="C71" s="68" t="s">
        <v>76</v>
      </c>
      <c r="D71" s="40"/>
      <c r="E71" s="22"/>
      <c r="F71" s="23"/>
      <c r="G71" s="24"/>
      <c r="H71" s="23"/>
      <c r="I71" s="24"/>
      <c r="J71" s="25"/>
      <c r="K71" s="23"/>
      <c r="L71" s="26"/>
      <c r="M71" s="26"/>
    </row>
    <row r="72" spans="2:13" ht="13.5" customHeight="1" x14ac:dyDescent="0.3">
      <c r="B72" s="41">
        <v>31</v>
      </c>
      <c r="C72" s="66" t="s">
        <v>78</v>
      </c>
      <c r="D72" s="39" t="s">
        <v>30</v>
      </c>
      <c r="E72" s="29">
        <v>1300000</v>
      </c>
      <c r="F72" s="33" t="s">
        <v>16</v>
      </c>
      <c r="G72" s="33">
        <v>2</v>
      </c>
      <c r="H72" s="33" t="s">
        <v>17</v>
      </c>
      <c r="I72" s="28" t="s">
        <v>18</v>
      </c>
      <c r="J72" s="34">
        <f t="shared" ref="J72" si="79">SUM(E72*G72)</f>
        <v>2600000</v>
      </c>
      <c r="K72" s="35">
        <f t="shared" ref="K72" si="80">SUM(J72*5%)</f>
        <v>130000</v>
      </c>
      <c r="L72" s="36">
        <f t="shared" ref="L72" si="81">SUM(J72-K72)</f>
        <v>2470000</v>
      </c>
      <c r="M72" s="20">
        <f>B72</f>
        <v>31</v>
      </c>
    </row>
    <row r="73" spans="2:13" ht="13.5" customHeight="1" x14ac:dyDescent="0.3">
      <c r="B73" s="13"/>
      <c r="C73" s="67" t="s">
        <v>79</v>
      </c>
      <c r="D73" s="40"/>
      <c r="E73" s="22"/>
      <c r="F73" s="23"/>
      <c r="G73" s="24"/>
      <c r="H73" s="23"/>
      <c r="I73" s="24"/>
      <c r="J73" s="25"/>
      <c r="K73" s="23"/>
      <c r="L73" s="26"/>
      <c r="M73" s="26"/>
    </row>
    <row r="74" spans="2:13" ht="13.5" customHeight="1" x14ac:dyDescent="0.3">
      <c r="B74" s="44">
        <v>32</v>
      </c>
      <c r="C74" s="46" t="s">
        <v>80</v>
      </c>
      <c r="D74" s="39" t="s">
        <v>30</v>
      </c>
      <c r="E74" s="29">
        <v>1300000</v>
      </c>
      <c r="F74" s="33" t="s">
        <v>16</v>
      </c>
      <c r="G74" s="33">
        <v>2</v>
      </c>
      <c r="H74" s="33" t="s">
        <v>17</v>
      </c>
      <c r="I74" s="28" t="s">
        <v>18</v>
      </c>
      <c r="J74" s="34">
        <f t="shared" ref="J74" si="82">SUM(E74*G74)</f>
        <v>2600000</v>
      </c>
      <c r="K74" s="35">
        <f t="shared" ref="K74" si="83">SUM(J74*5%)</f>
        <v>130000</v>
      </c>
      <c r="L74" s="36">
        <f t="shared" ref="L74" si="84">SUM(J74-K74)</f>
        <v>2470000</v>
      </c>
      <c r="M74" s="20">
        <f>B74</f>
        <v>32</v>
      </c>
    </row>
    <row r="75" spans="2:13" ht="13.5" customHeight="1" x14ac:dyDescent="0.3">
      <c r="B75" s="43"/>
      <c r="C75" s="68" t="s">
        <v>81</v>
      </c>
      <c r="D75" s="40"/>
      <c r="E75" s="15"/>
      <c r="F75" s="16"/>
      <c r="G75" s="14"/>
      <c r="H75" s="16"/>
      <c r="I75" s="14"/>
      <c r="J75" s="17"/>
      <c r="K75" s="23"/>
      <c r="L75" s="26"/>
      <c r="M75" s="26"/>
    </row>
    <row r="76" spans="2:13" ht="13.5" customHeight="1" x14ac:dyDescent="0.3">
      <c r="B76" s="41">
        <v>33</v>
      </c>
      <c r="C76" s="66" t="s">
        <v>82</v>
      </c>
      <c r="D76" s="39" t="s">
        <v>30</v>
      </c>
      <c r="E76" s="29">
        <v>1300000</v>
      </c>
      <c r="F76" s="33" t="s">
        <v>16</v>
      </c>
      <c r="G76" s="33">
        <v>2</v>
      </c>
      <c r="H76" s="33" t="s">
        <v>17</v>
      </c>
      <c r="I76" s="28" t="s">
        <v>18</v>
      </c>
      <c r="J76" s="34">
        <f t="shared" ref="J76" si="85">SUM(E76*G76)</f>
        <v>2600000</v>
      </c>
      <c r="K76" s="35">
        <v>0</v>
      </c>
      <c r="L76" s="36">
        <f t="shared" ref="L76" si="86">SUM(J76-K76)</f>
        <v>2600000</v>
      </c>
      <c r="M76" s="20">
        <f>B76</f>
        <v>33</v>
      </c>
    </row>
    <row r="77" spans="2:13" ht="13.5" customHeight="1" x14ac:dyDescent="0.3">
      <c r="B77" s="13"/>
      <c r="C77" s="67" t="s">
        <v>83</v>
      </c>
      <c r="D77" s="40"/>
      <c r="E77" s="22"/>
      <c r="F77" s="23"/>
      <c r="G77" s="24"/>
      <c r="H77" s="23"/>
      <c r="I77" s="24"/>
      <c r="J77" s="25"/>
      <c r="K77" s="23"/>
      <c r="L77" s="26"/>
      <c r="M77" s="26"/>
    </row>
    <row r="78" spans="2:13" ht="13.5" customHeight="1" x14ac:dyDescent="0.3">
      <c r="B78" s="44">
        <v>34</v>
      </c>
      <c r="C78" s="46" t="s">
        <v>84</v>
      </c>
      <c r="D78" s="39" t="s">
        <v>30</v>
      </c>
      <c r="E78" s="29">
        <v>1300000</v>
      </c>
      <c r="F78" s="33" t="s">
        <v>16</v>
      </c>
      <c r="G78" s="33">
        <v>2</v>
      </c>
      <c r="H78" s="33" t="s">
        <v>17</v>
      </c>
      <c r="I78" s="28" t="s">
        <v>18</v>
      </c>
      <c r="J78" s="34">
        <f t="shared" ref="J78" si="87">SUM(E78*G78)</f>
        <v>2600000</v>
      </c>
      <c r="K78" s="35">
        <v>0</v>
      </c>
      <c r="L78" s="36">
        <f t="shared" ref="L78" si="88">SUM(J78-K78)</f>
        <v>2600000</v>
      </c>
      <c r="M78" s="20">
        <f>B78</f>
        <v>34</v>
      </c>
    </row>
    <row r="79" spans="2:13" ht="13.5" customHeight="1" x14ac:dyDescent="0.3">
      <c r="B79" s="43"/>
      <c r="C79" s="67" t="s">
        <v>83</v>
      </c>
      <c r="D79" s="40"/>
      <c r="E79" s="22"/>
      <c r="F79" s="23"/>
      <c r="G79" s="24"/>
      <c r="H79" s="23"/>
      <c r="I79" s="24"/>
      <c r="J79" s="25"/>
      <c r="K79" s="23"/>
      <c r="L79" s="26"/>
      <c r="M79" s="26"/>
    </row>
    <row r="80" spans="2:13" ht="13.5" customHeight="1" x14ac:dyDescent="0.3">
      <c r="B80" s="41">
        <v>35</v>
      </c>
      <c r="C80" s="66" t="s">
        <v>85</v>
      </c>
      <c r="D80" s="39" t="s">
        <v>30</v>
      </c>
      <c r="E80" s="29">
        <v>1300000</v>
      </c>
      <c r="F80" s="33" t="s">
        <v>16</v>
      </c>
      <c r="G80" s="33">
        <v>2</v>
      </c>
      <c r="H80" s="33" t="s">
        <v>17</v>
      </c>
      <c r="I80" s="28" t="s">
        <v>18</v>
      </c>
      <c r="J80" s="34">
        <f t="shared" ref="J80" si="89">SUM(E80*G80)</f>
        <v>2600000</v>
      </c>
      <c r="K80" s="35">
        <v>0</v>
      </c>
      <c r="L80" s="36">
        <f t="shared" ref="L80" si="90">SUM(J80-K80)</f>
        <v>2600000</v>
      </c>
      <c r="M80" s="20">
        <f>B80</f>
        <v>35</v>
      </c>
    </row>
    <row r="81" spans="2:13" ht="13.5" customHeight="1" x14ac:dyDescent="0.3">
      <c r="B81" s="26"/>
      <c r="C81" s="67" t="s">
        <v>83</v>
      </c>
      <c r="D81" s="40"/>
      <c r="E81" s="22"/>
      <c r="F81" s="23"/>
      <c r="G81" s="24"/>
      <c r="H81" s="23"/>
      <c r="I81" s="24"/>
      <c r="J81" s="25"/>
      <c r="K81" s="23"/>
      <c r="L81" s="26"/>
      <c r="M81" s="26"/>
    </row>
    <row r="82" spans="2:13" ht="13.5" customHeight="1" x14ac:dyDescent="0.3">
      <c r="B82" s="44">
        <v>36</v>
      </c>
      <c r="C82" s="46" t="s">
        <v>86</v>
      </c>
      <c r="D82" s="39" t="s">
        <v>30</v>
      </c>
      <c r="E82" s="29">
        <v>1300000</v>
      </c>
      <c r="F82" s="33" t="s">
        <v>16</v>
      </c>
      <c r="G82" s="33">
        <v>2</v>
      </c>
      <c r="H82" s="33" t="s">
        <v>17</v>
      </c>
      <c r="I82" s="28" t="s">
        <v>18</v>
      </c>
      <c r="J82" s="34">
        <f t="shared" ref="J82" si="91">SUM(E82*G82)</f>
        <v>2600000</v>
      </c>
      <c r="K82" s="35">
        <v>0</v>
      </c>
      <c r="L82" s="36">
        <f t="shared" ref="L82" si="92">SUM(J82-K82)</f>
        <v>2600000</v>
      </c>
      <c r="M82" s="20">
        <f>B82</f>
        <v>36</v>
      </c>
    </row>
    <row r="83" spans="2:13" ht="13.5" customHeight="1" x14ac:dyDescent="0.3">
      <c r="B83" s="43"/>
      <c r="C83" s="68" t="s">
        <v>83</v>
      </c>
      <c r="D83" s="40"/>
      <c r="E83" s="22"/>
      <c r="F83" s="23"/>
      <c r="G83" s="24"/>
      <c r="H83" s="23"/>
      <c r="I83" s="24"/>
      <c r="J83" s="25"/>
      <c r="K83" s="23"/>
      <c r="L83" s="26"/>
      <c r="M83" s="26"/>
    </row>
    <row r="84" spans="2:13" ht="13.5" customHeight="1" x14ac:dyDescent="0.3">
      <c r="B84" s="41">
        <v>37</v>
      </c>
      <c r="C84" s="66" t="s">
        <v>87</v>
      </c>
      <c r="D84" s="39" t="s">
        <v>30</v>
      </c>
      <c r="E84" s="29">
        <v>1300000</v>
      </c>
      <c r="F84" s="33" t="s">
        <v>16</v>
      </c>
      <c r="G84" s="33">
        <v>2</v>
      </c>
      <c r="H84" s="33" t="s">
        <v>17</v>
      </c>
      <c r="I84" s="28" t="s">
        <v>18</v>
      </c>
      <c r="J84" s="34">
        <f t="shared" ref="J84" si="93">SUM(E84*G84)</f>
        <v>2600000</v>
      </c>
      <c r="K84" s="35">
        <v>0</v>
      </c>
      <c r="L84" s="36">
        <f t="shared" ref="L84" si="94">SUM(J84-K84)</f>
        <v>2600000</v>
      </c>
      <c r="M84" s="20">
        <f>B84</f>
        <v>37</v>
      </c>
    </row>
    <row r="85" spans="2:13" ht="13.5" customHeight="1" x14ac:dyDescent="0.3">
      <c r="B85" s="26"/>
      <c r="C85" s="67" t="s">
        <v>83</v>
      </c>
      <c r="D85" s="40"/>
      <c r="E85" s="22"/>
      <c r="F85" s="23"/>
      <c r="G85" s="24"/>
      <c r="H85" s="23"/>
      <c r="I85" s="24"/>
      <c r="J85" s="25"/>
      <c r="K85" s="23"/>
      <c r="L85" s="26"/>
      <c r="M85" s="26"/>
    </row>
    <row r="86" spans="2:13" ht="13.5" customHeight="1" x14ac:dyDescent="0.3">
      <c r="B86" s="71"/>
      <c r="C86" s="72"/>
      <c r="D86" s="73"/>
      <c r="E86" s="74"/>
      <c r="F86" s="72"/>
      <c r="G86" s="73"/>
      <c r="H86" s="72"/>
      <c r="I86" s="149">
        <f>SUM(J11:J85)</f>
        <v>104800000</v>
      </c>
      <c r="J86" s="150"/>
      <c r="K86" s="150">
        <f>SUM(K11:K85)</f>
        <v>7620000</v>
      </c>
      <c r="L86" s="153">
        <f>SUM(L11:L85)</f>
        <v>97180000</v>
      </c>
      <c r="M86" s="75"/>
    </row>
    <row r="87" spans="2:13" ht="13.5" customHeight="1" x14ac:dyDescent="0.3">
      <c r="B87" s="76"/>
      <c r="C87" s="77"/>
      <c r="D87" s="78"/>
      <c r="E87" s="79"/>
      <c r="F87" s="77"/>
      <c r="G87" s="78"/>
      <c r="H87" s="77"/>
      <c r="I87" s="151"/>
      <c r="J87" s="152"/>
      <c r="K87" s="152"/>
      <c r="L87" s="154"/>
      <c r="M87" s="80"/>
    </row>
    <row r="88" spans="2:13" ht="13.5" customHeight="1" x14ac:dyDescent="0.3">
      <c r="B88" s="81"/>
      <c r="J88" s="82"/>
    </row>
    <row r="89" spans="2:13" s="84" customFormat="1" ht="13.5" customHeight="1" x14ac:dyDescent="0.3">
      <c r="B89" s="83"/>
      <c r="C89" s="83"/>
      <c r="D89" s="83"/>
      <c r="F89" s="57"/>
      <c r="G89" s="85"/>
      <c r="H89" s="86"/>
      <c r="I89" s="85"/>
      <c r="J89" s="86"/>
      <c r="K89" s="86"/>
      <c r="L89" s="83" t="s">
        <v>88</v>
      </c>
    </row>
    <row r="90" spans="2:13" s="84" customFormat="1" ht="13.5" customHeight="1" x14ac:dyDescent="0.3">
      <c r="B90" s="83"/>
      <c r="C90" s="83"/>
      <c r="D90" s="83"/>
      <c r="F90" s="57"/>
      <c r="G90" s="85"/>
      <c r="H90" s="86"/>
      <c r="I90" s="85"/>
      <c r="J90" s="86"/>
      <c r="K90" s="86"/>
      <c r="L90" s="83"/>
    </row>
    <row r="91" spans="2:13" s="84" customFormat="1" ht="13.5" customHeight="1" x14ac:dyDescent="0.3">
      <c r="D91" s="83"/>
      <c r="F91" s="57"/>
      <c r="G91" s="85"/>
      <c r="H91" s="86"/>
      <c r="I91" s="85"/>
      <c r="J91" s="86"/>
      <c r="K91" s="148" t="s">
        <v>89</v>
      </c>
      <c r="L91" s="148"/>
      <c r="M91" s="148"/>
    </row>
    <row r="92" spans="2:13" s="84" customFormat="1" ht="13.5" customHeight="1" x14ac:dyDescent="0.3">
      <c r="D92" s="83"/>
      <c r="F92" s="57"/>
      <c r="G92" s="85"/>
      <c r="H92" s="86"/>
      <c r="I92" s="85"/>
      <c r="J92" s="86"/>
      <c r="K92" s="148" t="s">
        <v>90</v>
      </c>
      <c r="L92" s="148"/>
      <c r="M92" s="148"/>
    </row>
    <row r="93" spans="2:13" s="84" customFormat="1" ht="13.5" customHeight="1" x14ac:dyDescent="0.3">
      <c r="D93" s="83"/>
      <c r="F93" s="57"/>
      <c r="G93" s="85"/>
      <c r="H93" s="86"/>
      <c r="I93" s="85"/>
      <c r="J93" s="86"/>
      <c r="K93" s="148" t="s">
        <v>91</v>
      </c>
      <c r="L93" s="148"/>
      <c r="M93" s="148"/>
    </row>
    <row r="94" spans="2:13" s="84" customFormat="1" ht="13.5" customHeight="1" x14ac:dyDescent="0.3">
      <c r="D94" s="83"/>
      <c r="F94" s="57"/>
      <c r="G94" s="85"/>
      <c r="H94" s="86"/>
      <c r="I94" s="85"/>
      <c r="J94" s="86"/>
      <c r="L94" s="83"/>
    </row>
    <row r="95" spans="2:13" s="84" customFormat="1" ht="13.5" customHeight="1" x14ac:dyDescent="0.3">
      <c r="D95" s="83"/>
      <c r="F95" s="57"/>
      <c r="G95" s="85"/>
      <c r="H95" s="86"/>
      <c r="I95" s="85"/>
      <c r="J95" s="86"/>
      <c r="L95" s="83"/>
    </row>
    <row r="96" spans="2:13" s="84" customFormat="1" ht="13.5" customHeight="1" x14ac:dyDescent="0.3">
      <c r="D96" s="83"/>
      <c r="F96" s="57"/>
      <c r="G96" s="85"/>
      <c r="H96" s="86"/>
      <c r="I96" s="85"/>
      <c r="J96" s="86"/>
      <c r="L96" s="83"/>
    </row>
    <row r="97" spans="4:13" s="84" customFormat="1" ht="13.5" customHeight="1" x14ac:dyDescent="0.3">
      <c r="D97" s="83"/>
      <c r="F97" s="57"/>
      <c r="G97" s="85"/>
      <c r="H97" s="86"/>
      <c r="I97" s="85"/>
      <c r="J97" s="86"/>
      <c r="K97" s="147" t="s">
        <v>92</v>
      </c>
      <c r="L97" s="147"/>
      <c r="M97" s="147"/>
    </row>
    <row r="98" spans="4:13" s="84" customFormat="1" ht="13.5" customHeight="1" x14ac:dyDescent="0.3">
      <c r="D98" s="83"/>
      <c r="F98" s="57"/>
      <c r="G98" s="85"/>
      <c r="H98" s="86"/>
      <c r="I98" s="85"/>
      <c r="J98" s="86"/>
      <c r="K98" s="148" t="s">
        <v>93</v>
      </c>
      <c r="L98" s="148"/>
      <c r="M98" s="148"/>
    </row>
  </sheetData>
  <mergeCells count="14">
    <mergeCell ref="B3:M4"/>
    <mergeCell ref="B9:B10"/>
    <mergeCell ref="C9:C10"/>
    <mergeCell ref="E9:J10"/>
    <mergeCell ref="L9:L10"/>
    <mergeCell ref="M9:M10"/>
    <mergeCell ref="K97:M97"/>
    <mergeCell ref="K98:M98"/>
    <mergeCell ref="I86:J87"/>
    <mergeCell ref="K86:K87"/>
    <mergeCell ref="L86:L87"/>
    <mergeCell ref="K91:M91"/>
    <mergeCell ref="K92:M92"/>
    <mergeCell ref="K93:M93"/>
  </mergeCells>
  <pageMargins left="0.39370078740157499" right="0.39370078740157499" top="0.39370078740157499" bottom="0.39370078740157499" header="0.196850393700787" footer="0.196850393700787"/>
  <pageSetup paperSize="14" scale="72" fitToWidth="0" orientation="landscape" verticalDpi="72" r:id="rId1"/>
  <rowBreaks count="2" manualBreakCount="2">
    <brk id="41" min="1" max="20" man="1"/>
    <brk id="81" min="1" max="20" man="1"/>
  </rowBreaks>
  <colBreaks count="1" manualBreakCount="1">
    <brk id="14" min="1" max="9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0E7D-10E2-4C24-9FB9-D87C85D67C61}">
  <dimension ref="B2:M79"/>
  <sheetViews>
    <sheetView tabSelected="1" view="pageBreakPreview" topLeftCell="A50" zoomScaleNormal="100" zoomScaleSheetLayoutView="100" workbookViewId="0">
      <selection activeCell="B65" sqref="B65:C68"/>
    </sheetView>
  </sheetViews>
  <sheetFormatPr defaultColWidth="8.88671875" defaultRowHeight="15" customHeight="1" x14ac:dyDescent="0.3"/>
  <cols>
    <col min="1" max="1" width="5.5546875" style="84" customWidth="1"/>
    <col min="2" max="2" width="9.109375" style="84" customWidth="1"/>
    <col min="3" max="3" width="54.5546875" style="84" customWidth="1"/>
    <col min="4" max="4" width="15.88671875" style="84" customWidth="1"/>
    <col min="5" max="5" width="15.88671875" style="57" customWidth="1"/>
    <col min="6" max="9" width="2.77734375" style="85" customWidth="1"/>
    <col min="10" max="12" width="15.88671875" style="57" customWidth="1"/>
    <col min="13" max="13" width="15.88671875" style="84" customWidth="1"/>
    <col min="14" max="16" width="4.5546875" style="84" customWidth="1"/>
    <col min="17" max="16384" width="8.88671875" style="84"/>
  </cols>
  <sheetData>
    <row r="2" spans="2:13" s="87" customFormat="1" ht="15" customHeight="1" x14ac:dyDescent="0.3">
      <c r="B2" s="87" t="s">
        <v>94</v>
      </c>
      <c r="E2" s="88"/>
      <c r="F2" s="89"/>
      <c r="G2" s="89"/>
      <c r="H2" s="89"/>
      <c r="I2" s="89"/>
      <c r="J2" s="88"/>
      <c r="K2" s="88"/>
      <c r="L2" s="88"/>
    </row>
    <row r="3" spans="2:13" s="90" customFormat="1" ht="12.45" customHeight="1" x14ac:dyDescent="0.3">
      <c r="B3" s="164" t="s">
        <v>95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2:13" s="90" customFormat="1" ht="7.5" customHeight="1" x14ac:dyDescent="0.3"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</row>
    <row r="5" spans="2:13" s="90" customFormat="1" ht="15" customHeight="1" x14ac:dyDescent="0.3">
      <c r="B5" s="90" t="s">
        <v>2</v>
      </c>
      <c r="E5" s="91"/>
      <c r="F5" s="92"/>
      <c r="G5" s="92"/>
      <c r="H5" s="92"/>
      <c r="I5" s="92"/>
      <c r="J5" s="91"/>
      <c r="K5" s="91"/>
      <c r="L5" s="91"/>
    </row>
    <row r="6" spans="2:13" s="90" customFormat="1" ht="15" customHeight="1" x14ac:dyDescent="0.3">
      <c r="B6" s="90" t="s">
        <v>96</v>
      </c>
      <c r="E6" s="91"/>
      <c r="F6" s="92"/>
      <c r="G6" s="92"/>
      <c r="H6" s="92"/>
      <c r="I6" s="92"/>
      <c r="J6" s="91"/>
      <c r="K6" s="91"/>
      <c r="L6" s="91"/>
    </row>
    <row r="7" spans="2:13" s="90" customFormat="1" ht="15" customHeight="1" x14ac:dyDescent="0.3">
      <c r="B7" s="90" t="s">
        <v>97</v>
      </c>
      <c r="E7" s="91"/>
      <c r="F7" s="92"/>
      <c r="G7" s="92"/>
      <c r="H7" s="92"/>
      <c r="I7" s="92"/>
      <c r="J7" s="91"/>
      <c r="K7" s="91"/>
      <c r="L7" s="91"/>
    </row>
    <row r="9" spans="2:13" ht="15" customHeight="1" x14ac:dyDescent="0.3">
      <c r="B9" s="165" t="s">
        <v>98</v>
      </c>
      <c r="C9" s="167" t="s">
        <v>6</v>
      </c>
      <c r="D9" s="93" t="s">
        <v>7</v>
      </c>
      <c r="E9" s="169" t="s">
        <v>8</v>
      </c>
      <c r="F9" s="170"/>
      <c r="G9" s="170"/>
      <c r="H9" s="170"/>
      <c r="I9" s="170"/>
      <c r="J9" s="171"/>
      <c r="K9" s="94" t="s">
        <v>9</v>
      </c>
      <c r="L9" s="175" t="s">
        <v>10</v>
      </c>
      <c r="M9" s="167" t="s">
        <v>11</v>
      </c>
    </row>
    <row r="10" spans="2:13" ht="15" customHeight="1" thickBot="1" x14ac:dyDescent="0.35">
      <c r="B10" s="166"/>
      <c r="C10" s="168"/>
      <c r="D10" s="95" t="s">
        <v>12</v>
      </c>
      <c r="E10" s="172"/>
      <c r="F10" s="173"/>
      <c r="G10" s="173"/>
      <c r="H10" s="173"/>
      <c r="I10" s="173"/>
      <c r="J10" s="174"/>
      <c r="K10" s="96" t="s">
        <v>13</v>
      </c>
      <c r="L10" s="176"/>
      <c r="M10" s="168"/>
    </row>
    <row r="11" spans="2:13" s="103" customFormat="1" ht="16.05" customHeight="1" thickTop="1" x14ac:dyDescent="0.25">
      <c r="B11" s="97">
        <v>1</v>
      </c>
      <c r="C11" s="177" t="s">
        <v>14</v>
      </c>
      <c r="D11" s="97" t="s">
        <v>15</v>
      </c>
      <c r="E11" s="98">
        <v>3500000</v>
      </c>
      <c r="F11" s="99" t="s">
        <v>16</v>
      </c>
      <c r="G11" s="99">
        <v>1</v>
      </c>
      <c r="H11" s="99" t="s">
        <v>17</v>
      </c>
      <c r="I11" s="99" t="s">
        <v>18</v>
      </c>
      <c r="J11" s="100">
        <f>SUM(E11*G11)</f>
        <v>3500000</v>
      </c>
      <c r="K11" s="101">
        <f>SUM(J11*15%)</f>
        <v>525000</v>
      </c>
      <c r="L11" s="101">
        <f>SUM(J11-K11)</f>
        <v>2975000</v>
      </c>
      <c r="M11" s="102">
        <f>B11</f>
        <v>1</v>
      </c>
    </row>
    <row r="12" spans="2:13" s="110" customFormat="1" ht="16.05" customHeight="1" x14ac:dyDescent="0.3">
      <c r="B12" s="104"/>
      <c r="C12" s="178" t="s">
        <v>19</v>
      </c>
      <c r="D12" s="104"/>
      <c r="E12" s="105"/>
      <c r="F12" s="106"/>
      <c r="G12" s="106"/>
      <c r="H12" s="106"/>
      <c r="I12" s="106"/>
      <c r="J12" s="107"/>
      <c r="K12" s="108"/>
      <c r="L12" s="108"/>
      <c r="M12" s="109"/>
    </row>
    <row r="13" spans="2:13" s="103" customFormat="1" ht="16.05" customHeight="1" x14ac:dyDescent="0.25">
      <c r="B13" s="111">
        <v>2</v>
      </c>
      <c r="C13" s="177" t="s">
        <v>20</v>
      </c>
      <c r="D13" s="111" t="s">
        <v>21</v>
      </c>
      <c r="E13" s="112">
        <v>2500000</v>
      </c>
      <c r="F13" s="113" t="s">
        <v>16</v>
      </c>
      <c r="G13" s="113">
        <v>1</v>
      </c>
      <c r="H13" s="113" t="s">
        <v>17</v>
      </c>
      <c r="I13" s="113" t="s">
        <v>18</v>
      </c>
      <c r="J13" s="114">
        <f t="shared" ref="J13" si="0">SUM(E13*G13)</f>
        <v>2500000</v>
      </c>
      <c r="K13" s="115">
        <f t="shared" ref="K13" si="1">SUM(J13*15%)</f>
        <v>375000</v>
      </c>
      <c r="L13" s="116">
        <f t="shared" ref="L13" si="2">SUM(J13-K13)</f>
        <v>2125000</v>
      </c>
      <c r="M13" s="117">
        <f t="shared" ref="M13" si="3">B13</f>
        <v>2</v>
      </c>
    </row>
    <row r="14" spans="2:13" s="110" customFormat="1" ht="16.05" customHeight="1" x14ac:dyDescent="0.3">
      <c r="B14" s="104"/>
      <c r="C14" s="178" t="s">
        <v>22</v>
      </c>
      <c r="D14" s="104"/>
      <c r="E14" s="118"/>
      <c r="F14" s="119"/>
      <c r="G14" s="119"/>
      <c r="H14" s="119"/>
      <c r="I14" s="119"/>
      <c r="J14" s="120"/>
      <c r="K14" s="121"/>
      <c r="L14" s="122"/>
      <c r="M14" s="123"/>
    </row>
    <row r="15" spans="2:13" s="103" customFormat="1" ht="16.05" customHeight="1" x14ac:dyDescent="0.25">
      <c r="B15" s="97">
        <v>3</v>
      </c>
      <c r="C15" s="177" t="s">
        <v>23</v>
      </c>
      <c r="D15" s="97" t="s">
        <v>24</v>
      </c>
      <c r="E15" s="112">
        <v>2000000</v>
      </c>
      <c r="F15" s="113" t="s">
        <v>16</v>
      </c>
      <c r="G15" s="113">
        <v>1</v>
      </c>
      <c r="H15" s="113" t="s">
        <v>17</v>
      </c>
      <c r="I15" s="113" t="s">
        <v>18</v>
      </c>
      <c r="J15" s="114">
        <f t="shared" ref="J15" si="4">SUM(E15*G15)</f>
        <v>2000000</v>
      </c>
      <c r="K15" s="115">
        <f>SUM(J15*15%)</f>
        <v>300000</v>
      </c>
      <c r="L15" s="116">
        <f t="shared" ref="L15" si="5">SUM(J15-K15)</f>
        <v>1700000</v>
      </c>
      <c r="M15" s="117">
        <f t="shared" ref="M15" si="6">B15</f>
        <v>3</v>
      </c>
    </row>
    <row r="16" spans="2:13" s="110" customFormat="1" ht="16.05" customHeight="1" x14ac:dyDescent="0.3">
      <c r="B16" s="124"/>
      <c r="C16" s="179" t="s">
        <v>25</v>
      </c>
      <c r="D16" s="124"/>
      <c r="E16" s="105"/>
      <c r="F16" s="106"/>
      <c r="G16" s="106"/>
      <c r="H16" s="106"/>
      <c r="I16" s="106"/>
      <c r="J16" s="125"/>
      <c r="K16" s="108"/>
      <c r="L16" s="107"/>
      <c r="M16" s="109"/>
    </row>
    <row r="17" spans="2:13" s="103" customFormat="1" ht="16.05" customHeight="1" x14ac:dyDescent="0.25">
      <c r="B17" s="111">
        <v>4</v>
      </c>
      <c r="C17" s="180" t="s">
        <v>26</v>
      </c>
      <c r="D17" s="111" t="s">
        <v>27</v>
      </c>
      <c r="E17" s="114">
        <v>1500000</v>
      </c>
      <c r="F17" s="113" t="s">
        <v>16</v>
      </c>
      <c r="G17" s="113">
        <v>1</v>
      </c>
      <c r="H17" s="113" t="s">
        <v>17</v>
      </c>
      <c r="I17" s="113" t="s">
        <v>18</v>
      </c>
      <c r="J17" s="114">
        <f t="shared" ref="J17" si="7">SUM(E17*G17)</f>
        <v>1500000</v>
      </c>
      <c r="K17" s="115">
        <f>SUM(J17*5%)</f>
        <v>75000</v>
      </c>
      <c r="L17" s="116">
        <f t="shared" ref="L17" si="8">SUM(J17-K17)</f>
        <v>1425000</v>
      </c>
      <c r="M17" s="117">
        <f t="shared" ref="M17" si="9">B17</f>
        <v>4</v>
      </c>
    </row>
    <row r="18" spans="2:13" s="110" customFormat="1" ht="26.25" customHeight="1" x14ac:dyDescent="0.3">
      <c r="B18" s="104"/>
      <c r="C18" s="181" t="s">
        <v>28</v>
      </c>
      <c r="D18" s="123"/>
      <c r="E18" s="120"/>
      <c r="F18" s="119"/>
      <c r="G18" s="119"/>
      <c r="H18" s="119"/>
      <c r="I18" s="119"/>
      <c r="J18" s="120"/>
      <c r="K18" s="121"/>
      <c r="L18" s="122"/>
      <c r="M18" s="123"/>
    </row>
    <row r="19" spans="2:13" s="103" customFormat="1" ht="16.05" customHeight="1" x14ac:dyDescent="0.25">
      <c r="B19" s="97">
        <v>5</v>
      </c>
      <c r="C19" s="180" t="s">
        <v>29</v>
      </c>
      <c r="D19" s="111" t="s">
        <v>30</v>
      </c>
      <c r="E19" s="114">
        <v>1300000</v>
      </c>
      <c r="F19" s="113" t="s">
        <v>16</v>
      </c>
      <c r="G19" s="113">
        <v>1</v>
      </c>
      <c r="H19" s="113" t="s">
        <v>17</v>
      </c>
      <c r="I19" s="113" t="s">
        <v>18</v>
      </c>
      <c r="J19" s="114">
        <f t="shared" ref="J19" si="10">SUM(E19*G19)</f>
        <v>1300000</v>
      </c>
      <c r="K19" s="115">
        <f t="shared" ref="K19:K25" si="11">SUM(J19*15%)</f>
        <v>195000</v>
      </c>
      <c r="L19" s="116">
        <f t="shared" ref="L19" si="12">SUM(J19-K19)</f>
        <v>1105000</v>
      </c>
      <c r="M19" s="117">
        <f t="shared" ref="M19" si="13">B19</f>
        <v>5</v>
      </c>
    </row>
    <row r="20" spans="2:13" s="110" customFormat="1" ht="16.05" customHeight="1" x14ac:dyDescent="0.3">
      <c r="B20" s="104"/>
      <c r="C20" s="178" t="s">
        <v>31</v>
      </c>
      <c r="D20" s="123"/>
      <c r="E20" s="120"/>
      <c r="F20" s="119"/>
      <c r="G20" s="119"/>
      <c r="H20" s="119"/>
      <c r="I20" s="119"/>
      <c r="J20" s="120"/>
      <c r="K20" s="121"/>
      <c r="L20" s="122"/>
      <c r="M20" s="123"/>
    </row>
    <row r="21" spans="2:13" s="103" customFormat="1" ht="16.05" customHeight="1" x14ac:dyDescent="0.25">
      <c r="B21" s="111">
        <v>6</v>
      </c>
      <c r="C21" s="126" t="s">
        <v>99</v>
      </c>
      <c r="D21" s="111" t="s">
        <v>30</v>
      </c>
      <c r="E21" s="114">
        <v>1300000</v>
      </c>
      <c r="F21" s="113" t="s">
        <v>16</v>
      </c>
      <c r="G21" s="113">
        <v>1</v>
      </c>
      <c r="H21" s="113" t="s">
        <v>17</v>
      </c>
      <c r="I21" s="113" t="s">
        <v>18</v>
      </c>
      <c r="J21" s="114">
        <f t="shared" ref="J21" si="14">SUM(E21*G21)</f>
        <v>1300000</v>
      </c>
      <c r="K21" s="115">
        <f t="shared" si="11"/>
        <v>195000</v>
      </c>
      <c r="L21" s="116">
        <f t="shared" ref="L21" si="15">SUM(J21-K21)</f>
        <v>1105000</v>
      </c>
      <c r="M21" s="117">
        <f t="shared" ref="M21" si="16">B21</f>
        <v>6</v>
      </c>
    </row>
    <row r="22" spans="2:13" s="110" customFormat="1" ht="16.05" customHeight="1" x14ac:dyDescent="0.3">
      <c r="B22" s="104"/>
      <c r="C22" s="127" t="s">
        <v>100</v>
      </c>
      <c r="D22" s="123"/>
      <c r="E22" s="120"/>
      <c r="F22" s="119"/>
      <c r="G22" s="119"/>
      <c r="H22" s="119"/>
      <c r="I22" s="119"/>
      <c r="J22" s="120"/>
      <c r="K22" s="121"/>
      <c r="L22" s="122"/>
      <c r="M22" s="123"/>
    </row>
    <row r="23" spans="2:13" s="103" customFormat="1" ht="16.05" customHeight="1" x14ac:dyDescent="0.25">
      <c r="B23" s="111">
        <v>7</v>
      </c>
      <c r="C23" s="177" t="s">
        <v>34</v>
      </c>
      <c r="D23" s="111" t="s">
        <v>30</v>
      </c>
      <c r="E23" s="112">
        <v>1300000</v>
      </c>
      <c r="F23" s="113" t="s">
        <v>16</v>
      </c>
      <c r="G23" s="113">
        <v>1</v>
      </c>
      <c r="H23" s="113" t="s">
        <v>17</v>
      </c>
      <c r="I23" s="113" t="s">
        <v>18</v>
      </c>
      <c r="J23" s="116">
        <f t="shared" ref="J23" si="17">SUM(E23*G23)</f>
        <v>1300000</v>
      </c>
      <c r="K23" s="116">
        <f t="shared" si="11"/>
        <v>195000</v>
      </c>
      <c r="L23" s="115">
        <f t="shared" ref="L23" si="18">SUM(J23-K23)</f>
        <v>1105000</v>
      </c>
      <c r="M23" s="128">
        <f t="shared" ref="M23" si="19">B23</f>
        <v>7</v>
      </c>
    </row>
    <row r="24" spans="2:13" s="110" customFormat="1" ht="16.05" customHeight="1" x14ac:dyDescent="0.3">
      <c r="B24" s="124"/>
      <c r="C24" s="178" t="s">
        <v>35</v>
      </c>
      <c r="D24" s="123"/>
      <c r="E24" s="118"/>
      <c r="F24" s="119"/>
      <c r="G24" s="119"/>
      <c r="H24" s="119"/>
      <c r="I24" s="119"/>
      <c r="J24" s="122"/>
      <c r="K24" s="122"/>
      <c r="L24" s="121"/>
      <c r="M24" s="129"/>
    </row>
    <row r="25" spans="2:13" s="103" customFormat="1" ht="16.05" customHeight="1" x14ac:dyDescent="0.25">
      <c r="B25" s="111">
        <v>8</v>
      </c>
      <c r="C25" s="177" t="s">
        <v>36</v>
      </c>
      <c r="D25" s="111" t="s">
        <v>30</v>
      </c>
      <c r="E25" s="112">
        <v>1300000</v>
      </c>
      <c r="F25" s="113" t="s">
        <v>16</v>
      </c>
      <c r="G25" s="113">
        <v>1</v>
      </c>
      <c r="H25" s="113" t="s">
        <v>17</v>
      </c>
      <c r="I25" s="113" t="s">
        <v>18</v>
      </c>
      <c r="J25" s="116">
        <f t="shared" ref="J25" si="20">SUM(E25*G25)</f>
        <v>1300000</v>
      </c>
      <c r="K25" s="115">
        <f t="shared" si="11"/>
        <v>195000</v>
      </c>
      <c r="L25" s="115">
        <f t="shared" ref="L25" si="21">SUM(J25-K25)</f>
        <v>1105000</v>
      </c>
      <c r="M25" s="128">
        <f t="shared" ref="M25" si="22">B25</f>
        <v>8</v>
      </c>
    </row>
    <row r="26" spans="2:13" s="110" customFormat="1" ht="29.7" customHeight="1" x14ac:dyDescent="0.3">
      <c r="B26" s="124"/>
      <c r="C26" s="181" t="s">
        <v>37</v>
      </c>
      <c r="D26" s="123"/>
      <c r="E26" s="118"/>
      <c r="F26" s="119"/>
      <c r="G26" s="119"/>
      <c r="H26" s="119"/>
      <c r="I26" s="119"/>
      <c r="J26" s="122"/>
      <c r="K26" s="121"/>
      <c r="L26" s="121"/>
      <c r="M26" s="129"/>
    </row>
    <row r="27" spans="2:13" s="103" customFormat="1" ht="16.05" customHeight="1" x14ac:dyDescent="0.25">
      <c r="B27" s="111">
        <v>9</v>
      </c>
      <c r="C27" s="177" t="s">
        <v>38</v>
      </c>
      <c r="D27" s="111" t="s">
        <v>30</v>
      </c>
      <c r="E27" s="112">
        <v>1300000</v>
      </c>
      <c r="F27" s="113" t="s">
        <v>16</v>
      </c>
      <c r="G27" s="113">
        <v>1</v>
      </c>
      <c r="H27" s="113" t="s">
        <v>17</v>
      </c>
      <c r="I27" s="113" t="s">
        <v>18</v>
      </c>
      <c r="J27" s="116">
        <f t="shared" ref="J27" si="23">SUM(E27*G27)</f>
        <v>1300000</v>
      </c>
      <c r="K27" s="115">
        <f>SUM(J27*15%)</f>
        <v>195000</v>
      </c>
      <c r="L27" s="115">
        <f t="shared" ref="L27" si="24">SUM(J27-K27)</f>
        <v>1105000</v>
      </c>
      <c r="M27" s="128">
        <f t="shared" ref="M27" si="25">B27</f>
        <v>9</v>
      </c>
    </row>
    <row r="28" spans="2:13" s="110" customFormat="1" ht="42.45" customHeight="1" x14ac:dyDescent="0.3">
      <c r="B28" s="104"/>
      <c r="C28" s="182" t="s">
        <v>39</v>
      </c>
      <c r="D28" s="123"/>
      <c r="E28" s="118"/>
      <c r="F28" s="119"/>
      <c r="G28" s="119"/>
      <c r="H28" s="119"/>
      <c r="I28" s="119"/>
      <c r="J28" s="122"/>
      <c r="K28" s="121"/>
      <c r="L28" s="121"/>
      <c r="M28" s="129"/>
    </row>
    <row r="29" spans="2:13" s="103" customFormat="1" ht="16.05" customHeight="1" x14ac:dyDescent="0.25">
      <c r="B29" s="111">
        <v>10</v>
      </c>
      <c r="C29" s="183" t="s">
        <v>44</v>
      </c>
      <c r="D29" s="111" t="s">
        <v>30</v>
      </c>
      <c r="E29" s="112">
        <v>1300000</v>
      </c>
      <c r="F29" s="113" t="s">
        <v>16</v>
      </c>
      <c r="G29" s="113">
        <v>1</v>
      </c>
      <c r="H29" s="113" t="s">
        <v>17</v>
      </c>
      <c r="I29" s="113" t="s">
        <v>18</v>
      </c>
      <c r="J29" s="116">
        <f t="shared" ref="J29" si="26">SUM(E29*G29)</f>
        <v>1300000</v>
      </c>
      <c r="K29" s="115">
        <f>SUM(J29*5%)</f>
        <v>65000</v>
      </c>
      <c r="L29" s="115">
        <f t="shared" ref="L29" si="27">SUM(J29-K29)</f>
        <v>1235000</v>
      </c>
      <c r="M29" s="128">
        <f t="shared" ref="M29" si="28">B29</f>
        <v>10</v>
      </c>
    </row>
    <row r="30" spans="2:13" s="110" customFormat="1" ht="16.05" customHeight="1" x14ac:dyDescent="0.3">
      <c r="B30" s="104"/>
      <c r="C30" s="184" t="s">
        <v>45</v>
      </c>
      <c r="D30" s="123"/>
      <c r="E30" s="118"/>
      <c r="F30" s="119"/>
      <c r="G30" s="119"/>
      <c r="H30" s="119"/>
      <c r="I30" s="119"/>
      <c r="J30" s="122"/>
      <c r="K30" s="121"/>
      <c r="L30" s="121"/>
      <c r="M30" s="129"/>
    </row>
    <row r="31" spans="2:13" s="103" customFormat="1" ht="16.05" customHeight="1" x14ac:dyDescent="0.25">
      <c r="B31" s="111">
        <v>11</v>
      </c>
      <c r="C31" s="185" t="s">
        <v>46</v>
      </c>
      <c r="D31" s="111" t="s">
        <v>30</v>
      </c>
      <c r="E31" s="112">
        <v>1300000</v>
      </c>
      <c r="F31" s="113" t="s">
        <v>16</v>
      </c>
      <c r="G31" s="113">
        <v>1</v>
      </c>
      <c r="H31" s="113" t="s">
        <v>17</v>
      </c>
      <c r="I31" s="113" t="s">
        <v>18</v>
      </c>
      <c r="J31" s="116">
        <f t="shared" ref="J31" si="29">SUM(E31*G31)</f>
        <v>1300000</v>
      </c>
      <c r="K31" s="115">
        <f>SUM(J31*5%)</f>
        <v>65000</v>
      </c>
      <c r="L31" s="115">
        <f t="shared" ref="L31" si="30">SUM(J31-K31)</f>
        <v>1235000</v>
      </c>
      <c r="M31" s="128">
        <f t="shared" ref="M31" si="31">B31</f>
        <v>11</v>
      </c>
    </row>
    <row r="32" spans="2:13" s="110" customFormat="1" ht="16.05" customHeight="1" x14ac:dyDescent="0.3">
      <c r="B32" s="124"/>
      <c r="C32" s="186" t="s">
        <v>47</v>
      </c>
      <c r="D32" s="109"/>
      <c r="E32" s="105"/>
      <c r="F32" s="106"/>
      <c r="G32" s="106"/>
      <c r="H32" s="106"/>
      <c r="I32" s="106"/>
      <c r="J32" s="107"/>
      <c r="K32" s="108"/>
      <c r="L32" s="108"/>
      <c r="M32" s="130"/>
    </row>
    <row r="33" spans="2:13" s="103" customFormat="1" ht="16.05" customHeight="1" x14ac:dyDescent="0.25">
      <c r="B33" s="111">
        <v>12</v>
      </c>
      <c r="C33" s="183" t="s">
        <v>48</v>
      </c>
      <c r="D33" s="111" t="s">
        <v>30</v>
      </c>
      <c r="E33" s="112">
        <v>1300000</v>
      </c>
      <c r="F33" s="113" t="s">
        <v>16</v>
      </c>
      <c r="G33" s="113">
        <v>1</v>
      </c>
      <c r="H33" s="113" t="s">
        <v>17</v>
      </c>
      <c r="I33" s="113" t="s">
        <v>18</v>
      </c>
      <c r="J33" s="116">
        <f t="shared" ref="J33" si="32">SUM(E33*G33)</f>
        <v>1300000</v>
      </c>
      <c r="K33" s="115">
        <f>SUM(J33*5%)</f>
        <v>65000</v>
      </c>
      <c r="L33" s="115">
        <f t="shared" ref="L33" si="33">SUM(J33-K33)</f>
        <v>1235000</v>
      </c>
      <c r="M33" s="128">
        <f t="shared" ref="M33" si="34">B33</f>
        <v>12</v>
      </c>
    </row>
    <row r="34" spans="2:13" s="110" customFormat="1" ht="16.05" customHeight="1" x14ac:dyDescent="0.3">
      <c r="B34" s="124"/>
      <c r="C34" s="184" t="s">
        <v>49</v>
      </c>
      <c r="D34" s="123"/>
      <c r="E34" s="118"/>
      <c r="F34" s="119"/>
      <c r="G34" s="119"/>
      <c r="H34" s="119"/>
      <c r="I34" s="119"/>
      <c r="J34" s="122"/>
      <c r="K34" s="121"/>
      <c r="L34" s="121"/>
      <c r="M34" s="129"/>
    </row>
    <row r="35" spans="2:13" s="103" customFormat="1" ht="16.05" customHeight="1" x14ac:dyDescent="0.25">
      <c r="B35" s="111">
        <v>13</v>
      </c>
      <c r="C35" s="131" t="s">
        <v>101</v>
      </c>
      <c r="D35" s="111" t="s">
        <v>30</v>
      </c>
      <c r="E35" s="112">
        <v>1300000</v>
      </c>
      <c r="F35" s="113" t="s">
        <v>16</v>
      </c>
      <c r="G35" s="113">
        <v>1</v>
      </c>
      <c r="H35" s="113" t="s">
        <v>17</v>
      </c>
      <c r="I35" s="113" t="s">
        <v>18</v>
      </c>
      <c r="J35" s="116">
        <f t="shared" ref="J35" si="35">SUM(E35*G35)</f>
        <v>1300000</v>
      </c>
      <c r="K35" s="115">
        <f>SUM(J35*5%)</f>
        <v>65000</v>
      </c>
      <c r="L35" s="115">
        <f>SUM(J35-K35)</f>
        <v>1235000</v>
      </c>
      <c r="M35" s="128">
        <f t="shared" ref="M35" si="36">B35</f>
        <v>13</v>
      </c>
    </row>
    <row r="36" spans="2:13" s="110" customFormat="1" ht="16.05" customHeight="1" x14ac:dyDescent="0.3">
      <c r="B36" s="104"/>
      <c r="C36" s="132" t="s">
        <v>102</v>
      </c>
      <c r="D36" s="123"/>
      <c r="E36" s="118"/>
      <c r="F36" s="119"/>
      <c r="G36" s="119"/>
      <c r="H36" s="119"/>
      <c r="I36" s="119"/>
      <c r="J36" s="122"/>
      <c r="K36" s="121"/>
      <c r="L36" s="121"/>
      <c r="M36" s="129"/>
    </row>
    <row r="37" spans="2:13" s="103" customFormat="1" ht="16.05" customHeight="1" x14ac:dyDescent="0.25">
      <c r="B37" s="111">
        <v>14</v>
      </c>
      <c r="C37" s="131" t="s">
        <v>65</v>
      </c>
      <c r="D37" s="111" t="s">
        <v>30</v>
      </c>
      <c r="E37" s="112">
        <v>1300000</v>
      </c>
      <c r="F37" s="113" t="s">
        <v>16</v>
      </c>
      <c r="G37" s="113">
        <v>1</v>
      </c>
      <c r="H37" s="113" t="s">
        <v>17</v>
      </c>
      <c r="I37" s="113" t="s">
        <v>18</v>
      </c>
      <c r="J37" s="116">
        <f t="shared" ref="J37" si="37">SUM(E37*G37)</f>
        <v>1300000</v>
      </c>
      <c r="K37" s="115">
        <f>SUM(J37*5%)</f>
        <v>65000</v>
      </c>
      <c r="L37" s="115">
        <f t="shared" ref="L37" si="38">SUM(J37-K37)</f>
        <v>1235000</v>
      </c>
      <c r="M37" s="128">
        <f t="shared" ref="M37" si="39">B37</f>
        <v>14</v>
      </c>
    </row>
    <row r="38" spans="2:13" s="110" customFormat="1" ht="16.05" customHeight="1" x14ac:dyDescent="0.3">
      <c r="B38" s="104"/>
      <c r="C38" s="133" t="s">
        <v>103</v>
      </c>
      <c r="D38" s="123"/>
      <c r="E38" s="118"/>
      <c r="F38" s="119"/>
      <c r="G38" s="119"/>
      <c r="H38" s="119"/>
      <c r="I38" s="119"/>
      <c r="J38" s="122"/>
      <c r="K38" s="121"/>
      <c r="L38" s="121"/>
      <c r="M38" s="129"/>
    </row>
    <row r="39" spans="2:13" s="110" customFormat="1" ht="16.05" customHeight="1" x14ac:dyDescent="0.25">
      <c r="B39" s="97">
        <v>15</v>
      </c>
      <c r="C39" s="183" t="s">
        <v>50</v>
      </c>
      <c r="D39" s="111" t="s">
        <v>30</v>
      </c>
      <c r="E39" s="112">
        <v>1300000</v>
      </c>
      <c r="F39" s="113" t="s">
        <v>16</v>
      </c>
      <c r="G39" s="113">
        <v>1</v>
      </c>
      <c r="H39" s="113" t="s">
        <v>17</v>
      </c>
      <c r="I39" s="113" t="s">
        <v>18</v>
      </c>
      <c r="J39" s="116">
        <f t="shared" ref="J39" si="40">SUM(E39*G39)</f>
        <v>1300000</v>
      </c>
      <c r="K39" s="115">
        <f>SUM(J39*5%)</f>
        <v>65000</v>
      </c>
      <c r="L39" s="115">
        <f t="shared" ref="L39" si="41">SUM(J39-K39)</f>
        <v>1235000</v>
      </c>
      <c r="M39" s="128">
        <f t="shared" ref="M39" si="42">B39</f>
        <v>15</v>
      </c>
    </row>
    <row r="40" spans="2:13" s="110" customFormat="1" ht="16.05" customHeight="1" x14ac:dyDescent="0.3">
      <c r="B40" s="104"/>
      <c r="C40" s="184" t="s">
        <v>51</v>
      </c>
      <c r="D40" s="123"/>
      <c r="E40" s="118"/>
      <c r="F40" s="119"/>
      <c r="G40" s="119"/>
      <c r="H40" s="119"/>
      <c r="I40" s="119"/>
      <c r="J40" s="122"/>
      <c r="K40" s="121"/>
      <c r="L40" s="121"/>
      <c r="M40" s="129"/>
    </row>
    <row r="41" spans="2:13" s="103" customFormat="1" ht="15.45" customHeight="1" x14ac:dyDescent="0.25">
      <c r="B41" s="111">
        <v>16</v>
      </c>
      <c r="C41" s="187" t="s">
        <v>104</v>
      </c>
      <c r="D41" s="111" t="s">
        <v>30</v>
      </c>
      <c r="E41" s="112">
        <v>1300000</v>
      </c>
      <c r="F41" s="113" t="s">
        <v>16</v>
      </c>
      <c r="G41" s="113">
        <v>1</v>
      </c>
      <c r="H41" s="113" t="s">
        <v>17</v>
      </c>
      <c r="I41" s="113" t="s">
        <v>18</v>
      </c>
      <c r="J41" s="116">
        <f t="shared" ref="J41" si="43">SUM(E41*G41)</f>
        <v>1300000</v>
      </c>
      <c r="K41" s="115">
        <f>SUM(J41*5%)</f>
        <v>65000</v>
      </c>
      <c r="L41" s="115">
        <f t="shared" ref="L41" si="44">SUM(J41-K41)</f>
        <v>1235000</v>
      </c>
      <c r="M41" s="128">
        <f t="shared" ref="M41" si="45">B41</f>
        <v>16</v>
      </c>
    </row>
    <row r="42" spans="2:13" s="110" customFormat="1" ht="15.45" customHeight="1" x14ac:dyDescent="0.3">
      <c r="B42" s="104"/>
      <c r="C42" s="188" t="s">
        <v>60</v>
      </c>
      <c r="D42" s="123"/>
      <c r="E42" s="118"/>
      <c r="F42" s="119"/>
      <c r="G42" s="119"/>
      <c r="H42" s="119"/>
      <c r="I42" s="119"/>
      <c r="J42" s="122"/>
      <c r="K42" s="121"/>
      <c r="L42" s="121"/>
      <c r="M42" s="129"/>
    </row>
    <row r="43" spans="2:13" s="103" customFormat="1" ht="15.45" customHeight="1" x14ac:dyDescent="0.25">
      <c r="B43" s="97">
        <v>17</v>
      </c>
      <c r="C43" s="189" t="s">
        <v>61</v>
      </c>
      <c r="D43" s="111" t="s">
        <v>30</v>
      </c>
      <c r="E43" s="112">
        <v>1300000</v>
      </c>
      <c r="F43" s="113" t="s">
        <v>16</v>
      </c>
      <c r="G43" s="113">
        <v>1</v>
      </c>
      <c r="H43" s="113" t="s">
        <v>17</v>
      </c>
      <c r="I43" s="113" t="s">
        <v>18</v>
      </c>
      <c r="J43" s="116">
        <f t="shared" ref="J43" si="46">SUM(E43*G43)</f>
        <v>1300000</v>
      </c>
      <c r="K43" s="115">
        <f>SUM(J43*5%)</f>
        <v>65000</v>
      </c>
      <c r="L43" s="115">
        <f t="shared" ref="L43" si="47">SUM(J43-K43)</f>
        <v>1235000</v>
      </c>
      <c r="M43" s="128">
        <f t="shared" ref="M43" si="48">B43</f>
        <v>17</v>
      </c>
    </row>
    <row r="44" spans="2:13" s="110" customFormat="1" ht="15.45" customHeight="1" thickBot="1" x14ac:dyDescent="0.35">
      <c r="B44" s="124"/>
      <c r="C44" s="190" t="s">
        <v>62</v>
      </c>
      <c r="D44" s="123"/>
      <c r="E44" s="118"/>
      <c r="F44" s="119"/>
      <c r="G44" s="119"/>
      <c r="H44" s="119"/>
      <c r="I44" s="119"/>
      <c r="J44" s="122"/>
      <c r="K44" s="121"/>
      <c r="L44" s="121"/>
      <c r="M44" s="129"/>
    </row>
    <row r="45" spans="2:13" s="103" customFormat="1" ht="15.45" customHeight="1" x14ac:dyDescent="0.25">
      <c r="B45" s="111">
        <v>18</v>
      </c>
      <c r="C45" s="189" t="s">
        <v>105</v>
      </c>
      <c r="D45" s="111" t="s">
        <v>30</v>
      </c>
      <c r="E45" s="112">
        <v>1300000</v>
      </c>
      <c r="F45" s="113" t="s">
        <v>16</v>
      </c>
      <c r="G45" s="113">
        <v>1</v>
      </c>
      <c r="H45" s="113" t="s">
        <v>17</v>
      </c>
      <c r="I45" s="113" t="s">
        <v>18</v>
      </c>
      <c r="J45" s="116">
        <f t="shared" ref="J45" si="49">SUM(E45*G45)</f>
        <v>1300000</v>
      </c>
      <c r="K45" s="115">
        <f>SUM(J45*5%)</f>
        <v>65000</v>
      </c>
      <c r="L45" s="115">
        <f t="shared" ref="L45" si="50">SUM(J45-K45)</f>
        <v>1235000</v>
      </c>
      <c r="M45" s="128">
        <f t="shared" ref="M45" si="51">B45</f>
        <v>18</v>
      </c>
    </row>
    <row r="46" spans="2:13" s="110" customFormat="1" ht="15.45" customHeight="1" x14ac:dyDescent="0.3">
      <c r="B46" s="123"/>
      <c r="C46" s="191" t="s">
        <v>68</v>
      </c>
      <c r="D46" s="123"/>
      <c r="E46" s="118"/>
      <c r="F46" s="119"/>
      <c r="G46" s="119"/>
      <c r="H46" s="119"/>
      <c r="I46" s="119"/>
      <c r="J46" s="122"/>
      <c r="K46" s="121"/>
      <c r="L46" s="121"/>
      <c r="M46" s="129"/>
    </row>
    <row r="47" spans="2:13" s="103" customFormat="1" ht="15.45" customHeight="1" x14ac:dyDescent="0.25">
      <c r="B47" s="111">
        <v>19</v>
      </c>
      <c r="C47" s="126" t="s">
        <v>78</v>
      </c>
      <c r="D47" s="111" t="s">
        <v>30</v>
      </c>
      <c r="E47" s="112">
        <v>1300000</v>
      </c>
      <c r="F47" s="113" t="s">
        <v>16</v>
      </c>
      <c r="G47" s="113">
        <v>1</v>
      </c>
      <c r="H47" s="113" t="s">
        <v>17</v>
      </c>
      <c r="I47" s="113" t="s">
        <v>18</v>
      </c>
      <c r="J47" s="116">
        <f t="shared" ref="J47" si="52">SUM(E47*G47)</f>
        <v>1300000</v>
      </c>
      <c r="K47" s="115">
        <f t="shared" ref="K47" si="53">SUM(J47*5%)</f>
        <v>65000</v>
      </c>
      <c r="L47" s="115">
        <f t="shared" ref="L47" si="54">SUM(J47-K47)</f>
        <v>1235000</v>
      </c>
      <c r="M47" s="128">
        <f t="shared" ref="M47" si="55">B47</f>
        <v>19</v>
      </c>
    </row>
    <row r="48" spans="2:13" s="110" customFormat="1" ht="15.45" customHeight="1" x14ac:dyDescent="0.3">
      <c r="B48" s="104"/>
      <c r="C48" s="135" t="s">
        <v>79</v>
      </c>
      <c r="D48" s="123"/>
      <c r="E48" s="118"/>
      <c r="F48" s="119"/>
      <c r="G48" s="119"/>
      <c r="H48" s="119"/>
      <c r="I48" s="119"/>
      <c r="J48" s="122"/>
      <c r="K48" s="121"/>
      <c r="L48" s="121"/>
      <c r="M48" s="129"/>
    </row>
    <row r="49" spans="2:13" s="103" customFormat="1" ht="15.45" customHeight="1" x14ac:dyDescent="0.25">
      <c r="B49" s="111">
        <v>20</v>
      </c>
      <c r="C49" s="189" t="s">
        <v>69</v>
      </c>
      <c r="D49" s="111" t="s">
        <v>30</v>
      </c>
      <c r="E49" s="112">
        <v>1300000</v>
      </c>
      <c r="F49" s="113" t="s">
        <v>16</v>
      </c>
      <c r="G49" s="113">
        <v>1</v>
      </c>
      <c r="H49" s="113" t="s">
        <v>17</v>
      </c>
      <c r="I49" s="113" t="s">
        <v>18</v>
      </c>
      <c r="J49" s="116">
        <f t="shared" ref="J49" si="56">SUM(E49*G49)</f>
        <v>1300000</v>
      </c>
      <c r="K49" s="115">
        <f t="shared" ref="K49" si="57">SUM(J49*5%)</f>
        <v>65000</v>
      </c>
      <c r="L49" s="115">
        <f t="shared" ref="L49" si="58">SUM(J49-K49)</f>
        <v>1235000</v>
      </c>
      <c r="M49" s="128">
        <f t="shared" ref="M49" si="59">B49</f>
        <v>20</v>
      </c>
    </row>
    <row r="50" spans="2:13" s="110" customFormat="1" ht="15.45" customHeight="1" x14ac:dyDescent="0.3">
      <c r="B50" s="104"/>
      <c r="C50" s="191" t="s">
        <v>70</v>
      </c>
      <c r="D50" s="123"/>
      <c r="E50" s="118"/>
      <c r="F50" s="119"/>
      <c r="G50" s="119"/>
      <c r="H50" s="119"/>
      <c r="I50" s="119"/>
      <c r="J50" s="122"/>
      <c r="K50" s="121"/>
      <c r="L50" s="121"/>
      <c r="M50" s="129"/>
    </row>
    <row r="51" spans="2:13" s="103" customFormat="1" ht="15.45" customHeight="1" x14ac:dyDescent="0.25">
      <c r="B51" s="111">
        <v>21</v>
      </c>
      <c r="C51" s="189" t="s">
        <v>106</v>
      </c>
      <c r="D51" s="111" t="s">
        <v>30</v>
      </c>
      <c r="E51" s="112">
        <v>1300000</v>
      </c>
      <c r="F51" s="113" t="s">
        <v>16</v>
      </c>
      <c r="G51" s="113">
        <v>1</v>
      </c>
      <c r="H51" s="113" t="s">
        <v>17</v>
      </c>
      <c r="I51" s="113" t="s">
        <v>18</v>
      </c>
      <c r="J51" s="116">
        <f t="shared" ref="J51" si="60">SUM(E51*G51)</f>
        <v>1300000</v>
      </c>
      <c r="K51" s="115">
        <f t="shared" ref="K51" si="61">SUM(J51*5%)</f>
        <v>65000</v>
      </c>
      <c r="L51" s="115">
        <f t="shared" ref="L51" si="62">SUM(J51-K51)</f>
        <v>1235000</v>
      </c>
      <c r="M51" s="128">
        <f t="shared" ref="M51" si="63">B51</f>
        <v>21</v>
      </c>
    </row>
    <row r="52" spans="2:13" s="110" customFormat="1" ht="15.45" customHeight="1" x14ac:dyDescent="0.3">
      <c r="B52" s="104"/>
      <c r="C52" s="191" t="s">
        <v>76</v>
      </c>
      <c r="D52" s="123"/>
      <c r="E52" s="118"/>
      <c r="F52" s="119"/>
      <c r="G52" s="119"/>
      <c r="H52" s="119"/>
      <c r="I52" s="119"/>
      <c r="J52" s="122"/>
      <c r="K52" s="121"/>
      <c r="L52" s="121"/>
      <c r="M52" s="129"/>
    </row>
    <row r="53" spans="2:13" s="103" customFormat="1" ht="15.45" customHeight="1" x14ac:dyDescent="0.25">
      <c r="B53" s="97">
        <v>22</v>
      </c>
      <c r="C53" s="192" t="s">
        <v>77</v>
      </c>
      <c r="D53" s="111" t="s">
        <v>30</v>
      </c>
      <c r="E53" s="112">
        <v>1300000</v>
      </c>
      <c r="F53" s="113" t="s">
        <v>16</v>
      </c>
      <c r="G53" s="113">
        <v>1</v>
      </c>
      <c r="H53" s="113" t="s">
        <v>17</v>
      </c>
      <c r="I53" s="113" t="s">
        <v>18</v>
      </c>
      <c r="J53" s="116">
        <f t="shared" ref="J53" si="64">SUM(E53*G53)</f>
        <v>1300000</v>
      </c>
      <c r="K53" s="115">
        <f>SUM(J53*0%)</f>
        <v>0</v>
      </c>
      <c r="L53" s="115">
        <f t="shared" ref="L53" si="65">SUM(J53-K53)</f>
        <v>1300000</v>
      </c>
      <c r="M53" s="128">
        <f t="shared" ref="M53" si="66">B53</f>
        <v>22</v>
      </c>
    </row>
    <row r="54" spans="2:13" s="110" customFormat="1" ht="15.45" customHeight="1" thickBot="1" x14ac:dyDescent="0.35">
      <c r="B54" s="124"/>
      <c r="C54" s="190" t="s">
        <v>76</v>
      </c>
      <c r="D54" s="123"/>
      <c r="E54" s="118"/>
      <c r="F54" s="119"/>
      <c r="G54" s="119"/>
      <c r="H54" s="119"/>
      <c r="I54" s="119"/>
      <c r="J54" s="122"/>
      <c r="K54" s="121"/>
      <c r="L54" s="121"/>
      <c r="M54" s="129"/>
    </row>
    <row r="55" spans="2:13" s="103" customFormat="1" ht="15.45" customHeight="1" x14ac:dyDescent="0.25">
      <c r="B55" s="111">
        <v>23</v>
      </c>
      <c r="C55" s="136" t="s">
        <v>107</v>
      </c>
      <c r="D55" s="111" t="s">
        <v>30</v>
      </c>
      <c r="E55" s="112">
        <v>1300000</v>
      </c>
      <c r="F55" s="113" t="s">
        <v>16</v>
      </c>
      <c r="G55" s="113">
        <v>1</v>
      </c>
      <c r="H55" s="113" t="s">
        <v>17</v>
      </c>
      <c r="I55" s="113" t="s">
        <v>18</v>
      </c>
      <c r="J55" s="116">
        <f t="shared" ref="J55" si="67">SUM(E55*G55)</f>
        <v>1300000</v>
      </c>
      <c r="K55" s="115">
        <f t="shared" ref="K55:K57" si="68">SUM(J55*5%)</f>
        <v>65000</v>
      </c>
      <c r="L55" s="115">
        <f t="shared" ref="L55" si="69">SUM(J55-K55)</f>
        <v>1235000</v>
      </c>
      <c r="M55" s="128">
        <f t="shared" ref="M55" si="70">B55</f>
        <v>23</v>
      </c>
    </row>
    <row r="56" spans="2:13" s="110" customFormat="1" ht="15.45" customHeight="1" thickBot="1" x14ac:dyDescent="0.35">
      <c r="B56" s="104"/>
      <c r="C56" s="134" t="s">
        <v>108</v>
      </c>
      <c r="D56" s="123"/>
      <c r="E56" s="118"/>
      <c r="F56" s="119"/>
      <c r="G56" s="119"/>
      <c r="H56" s="119"/>
      <c r="I56" s="119"/>
      <c r="J56" s="122"/>
      <c r="K56" s="121"/>
      <c r="L56" s="121"/>
      <c r="M56" s="129"/>
    </row>
    <row r="57" spans="2:13" s="103" customFormat="1" ht="15.45" customHeight="1" x14ac:dyDescent="0.25">
      <c r="B57" s="97">
        <v>24</v>
      </c>
      <c r="C57" s="187" t="s">
        <v>80</v>
      </c>
      <c r="D57" s="111" t="s">
        <v>30</v>
      </c>
      <c r="E57" s="112">
        <v>1300000</v>
      </c>
      <c r="F57" s="113" t="s">
        <v>16</v>
      </c>
      <c r="G57" s="113">
        <v>1</v>
      </c>
      <c r="H57" s="113" t="s">
        <v>17</v>
      </c>
      <c r="I57" s="113" t="s">
        <v>18</v>
      </c>
      <c r="J57" s="116">
        <f t="shared" ref="J57" si="71">SUM(E57*G57)</f>
        <v>1300000</v>
      </c>
      <c r="K57" s="115">
        <f t="shared" si="68"/>
        <v>65000</v>
      </c>
      <c r="L57" s="115">
        <f t="shared" ref="L57" si="72">SUM(J57-K57)</f>
        <v>1235000</v>
      </c>
      <c r="M57" s="128">
        <f t="shared" ref="M57" si="73">B57</f>
        <v>24</v>
      </c>
    </row>
    <row r="58" spans="2:13" s="110" customFormat="1" ht="15.45" customHeight="1" thickBot="1" x14ac:dyDescent="0.35">
      <c r="B58" s="124"/>
      <c r="C58" s="193" t="s">
        <v>109</v>
      </c>
      <c r="D58" s="123"/>
      <c r="E58" s="118"/>
      <c r="F58" s="119"/>
      <c r="G58" s="119"/>
      <c r="H58" s="119"/>
      <c r="I58" s="119"/>
      <c r="J58" s="122"/>
      <c r="K58" s="121"/>
      <c r="L58" s="121"/>
      <c r="M58" s="129"/>
    </row>
    <row r="59" spans="2:13" s="103" customFormat="1" ht="15.45" customHeight="1" thickTop="1" x14ac:dyDescent="0.25">
      <c r="B59" s="111">
        <v>25</v>
      </c>
      <c r="C59" s="189" t="s">
        <v>82</v>
      </c>
      <c r="D59" s="111" t="s">
        <v>30</v>
      </c>
      <c r="E59" s="112">
        <v>1300000</v>
      </c>
      <c r="F59" s="113" t="s">
        <v>16</v>
      </c>
      <c r="G59" s="113">
        <v>1</v>
      </c>
      <c r="H59" s="113" t="s">
        <v>17</v>
      </c>
      <c r="I59" s="113" t="s">
        <v>18</v>
      </c>
      <c r="J59" s="116">
        <f t="shared" ref="J59" si="74">SUM(E59*G59)</f>
        <v>1300000</v>
      </c>
      <c r="K59" s="115">
        <v>0</v>
      </c>
      <c r="L59" s="115">
        <f t="shared" ref="L59" si="75">SUM(J59-K59)</f>
        <v>1300000</v>
      </c>
      <c r="M59" s="128">
        <f t="shared" ref="M59" si="76">B59</f>
        <v>25</v>
      </c>
    </row>
    <row r="60" spans="2:13" s="110" customFormat="1" ht="15.45" customHeight="1" x14ac:dyDescent="0.3">
      <c r="B60" s="104"/>
      <c r="C60" s="191" t="s">
        <v>83</v>
      </c>
      <c r="D60" s="123"/>
      <c r="E60" s="118"/>
      <c r="F60" s="119"/>
      <c r="G60" s="119"/>
      <c r="H60" s="119"/>
      <c r="I60" s="119"/>
      <c r="J60" s="122"/>
      <c r="K60" s="121"/>
      <c r="L60" s="121"/>
      <c r="M60" s="129"/>
    </row>
    <row r="61" spans="2:13" s="103" customFormat="1" ht="15.45" customHeight="1" x14ac:dyDescent="0.25">
      <c r="B61" s="97">
        <v>26</v>
      </c>
      <c r="C61" s="192" t="s">
        <v>110</v>
      </c>
      <c r="D61" s="111" t="s">
        <v>30</v>
      </c>
      <c r="E61" s="112">
        <v>1300000</v>
      </c>
      <c r="F61" s="113" t="s">
        <v>16</v>
      </c>
      <c r="G61" s="113">
        <v>1</v>
      </c>
      <c r="H61" s="113" t="s">
        <v>17</v>
      </c>
      <c r="I61" s="113" t="s">
        <v>18</v>
      </c>
      <c r="J61" s="116">
        <f t="shared" ref="J61" si="77">SUM(E61*G61)</f>
        <v>1300000</v>
      </c>
      <c r="K61" s="115">
        <v>0</v>
      </c>
      <c r="L61" s="115">
        <f t="shared" ref="L61" si="78">SUM(J61-K61)</f>
        <v>1300000</v>
      </c>
      <c r="M61" s="128">
        <f t="shared" ref="M61" si="79">B61</f>
        <v>26</v>
      </c>
    </row>
    <row r="62" spans="2:13" s="110" customFormat="1" ht="15.45" customHeight="1" x14ac:dyDescent="0.3">
      <c r="B62" s="104"/>
      <c r="C62" s="194" t="s">
        <v>83</v>
      </c>
      <c r="D62" s="123"/>
      <c r="E62" s="118"/>
      <c r="F62" s="119"/>
      <c r="G62" s="119"/>
      <c r="H62" s="119"/>
      <c r="I62" s="119"/>
      <c r="J62" s="122"/>
      <c r="K62" s="121"/>
      <c r="L62" s="121"/>
      <c r="M62" s="129"/>
    </row>
    <row r="63" spans="2:13" s="103" customFormat="1" ht="15.45" customHeight="1" x14ac:dyDescent="0.25">
      <c r="B63" s="97">
        <v>27</v>
      </c>
      <c r="C63" s="189" t="s">
        <v>111</v>
      </c>
      <c r="D63" s="111" t="s">
        <v>30</v>
      </c>
      <c r="E63" s="112">
        <v>1300000</v>
      </c>
      <c r="F63" s="113" t="s">
        <v>16</v>
      </c>
      <c r="G63" s="113">
        <v>1</v>
      </c>
      <c r="H63" s="113" t="s">
        <v>17</v>
      </c>
      <c r="I63" s="113" t="s">
        <v>18</v>
      </c>
      <c r="J63" s="116">
        <f t="shared" ref="J63" si="80">SUM(E63*G63)</f>
        <v>1300000</v>
      </c>
      <c r="K63" s="115">
        <v>0</v>
      </c>
      <c r="L63" s="115">
        <f t="shared" ref="L63" si="81">SUM(J63-K63)</f>
        <v>1300000</v>
      </c>
      <c r="M63" s="128">
        <f t="shared" ref="M63" si="82">B63</f>
        <v>27</v>
      </c>
    </row>
    <row r="64" spans="2:13" s="110" customFormat="1" ht="15.45" customHeight="1" x14ac:dyDescent="0.3">
      <c r="B64" s="104"/>
      <c r="C64" s="191" t="s">
        <v>83</v>
      </c>
      <c r="D64" s="109"/>
      <c r="E64" s="105"/>
      <c r="F64" s="106"/>
      <c r="G64" s="106"/>
      <c r="H64" s="106"/>
      <c r="I64" s="106"/>
      <c r="J64" s="107"/>
      <c r="K64" s="108"/>
      <c r="L64" s="108"/>
      <c r="M64" s="130"/>
    </row>
    <row r="65" spans="2:13" s="110" customFormat="1" ht="15.45" customHeight="1" x14ac:dyDescent="0.25">
      <c r="B65" s="97">
        <v>28</v>
      </c>
      <c r="C65" s="126" t="s">
        <v>112</v>
      </c>
      <c r="D65" s="111" t="s">
        <v>30</v>
      </c>
      <c r="E65" s="112">
        <v>1300000</v>
      </c>
      <c r="F65" s="113" t="s">
        <v>16</v>
      </c>
      <c r="G65" s="113">
        <v>1</v>
      </c>
      <c r="H65" s="113" t="s">
        <v>17</v>
      </c>
      <c r="I65" s="113" t="s">
        <v>18</v>
      </c>
      <c r="J65" s="116">
        <f t="shared" ref="J65" si="83">SUM(E65*G65)</f>
        <v>1300000</v>
      </c>
      <c r="K65" s="115">
        <v>0</v>
      </c>
      <c r="L65" s="115">
        <f t="shared" ref="L65" si="84">SUM(J65-K65)</f>
        <v>1300000</v>
      </c>
      <c r="M65" s="128">
        <f t="shared" ref="M65" si="85">B65</f>
        <v>28</v>
      </c>
    </row>
    <row r="66" spans="2:13" s="110" customFormat="1" ht="15.45" customHeight="1" x14ac:dyDescent="0.3">
      <c r="B66" s="104"/>
      <c r="C66" s="135" t="s">
        <v>83</v>
      </c>
      <c r="D66" s="109"/>
      <c r="E66" s="105"/>
      <c r="F66" s="106"/>
      <c r="G66" s="106"/>
      <c r="H66" s="106"/>
      <c r="I66" s="106"/>
      <c r="J66" s="107"/>
      <c r="K66" s="108"/>
      <c r="L66" s="108"/>
      <c r="M66" s="130"/>
    </row>
    <row r="67" spans="2:13" s="103" customFormat="1" ht="15.45" customHeight="1" x14ac:dyDescent="0.25">
      <c r="B67" s="97">
        <v>29</v>
      </c>
      <c r="C67" s="126" t="s">
        <v>113</v>
      </c>
      <c r="D67" s="111" t="s">
        <v>30</v>
      </c>
      <c r="E67" s="112">
        <v>1300000</v>
      </c>
      <c r="F67" s="113" t="s">
        <v>16</v>
      </c>
      <c r="G67" s="113">
        <v>1</v>
      </c>
      <c r="H67" s="113" t="s">
        <v>17</v>
      </c>
      <c r="I67" s="113" t="s">
        <v>18</v>
      </c>
      <c r="J67" s="116">
        <f t="shared" ref="J67" si="86">SUM(E67*G67)</f>
        <v>1300000</v>
      </c>
      <c r="K67" s="115">
        <v>0</v>
      </c>
      <c r="L67" s="115">
        <f t="shared" ref="L67" si="87">SUM(J67-K67)</f>
        <v>1300000</v>
      </c>
      <c r="M67" s="128">
        <f t="shared" ref="M67" si="88">B67</f>
        <v>29</v>
      </c>
    </row>
    <row r="68" spans="2:13" s="110" customFormat="1" ht="15.45" customHeight="1" x14ac:dyDescent="0.3">
      <c r="B68" s="124"/>
      <c r="C68" s="135" t="s">
        <v>83</v>
      </c>
      <c r="D68" s="109"/>
      <c r="E68" s="105"/>
      <c r="F68" s="106"/>
      <c r="G68" s="106"/>
      <c r="H68" s="106"/>
      <c r="I68" s="106"/>
      <c r="J68" s="107"/>
      <c r="K68" s="108"/>
      <c r="L68" s="108"/>
      <c r="M68" s="130"/>
    </row>
    <row r="69" spans="2:13" ht="15" customHeight="1" x14ac:dyDescent="0.3">
      <c r="B69" s="137"/>
      <c r="C69" s="138"/>
      <c r="D69" s="139"/>
      <c r="E69" s="140"/>
      <c r="F69" s="141"/>
      <c r="G69" s="141"/>
      <c r="H69" s="141"/>
      <c r="I69" s="141"/>
      <c r="J69" s="142">
        <f>SUM(J11:J68)</f>
        <v>42000000</v>
      </c>
      <c r="K69" s="143">
        <f>SUM(K11:K68)</f>
        <v>3160000</v>
      </c>
      <c r="L69" s="143">
        <f>SUM(L11:L68)</f>
        <v>38840000</v>
      </c>
      <c r="M69" s="139"/>
    </row>
    <row r="70" spans="2:13" ht="15" customHeight="1" x14ac:dyDescent="0.3">
      <c r="C70" s="83"/>
      <c r="L70" s="144"/>
    </row>
    <row r="71" spans="2:13" ht="15" customHeight="1" x14ac:dyDescent="0.3">
      <c r="L71" s="145" t="s">
        <v>88</v>
      </c>
    </row>
    <row r="72" spans="2:13" ht="15" customHeight="1" x14ac:dyDescent="0.3">
      <c r="C72" s="83"/>
      <c r="L72" s="83" t="s">
        <v>89</v>
      </c>
    </row>
    <row r="73" spans="2:13" ht="15" customHeight="1" x14ac:dyDescent="0.3">
      <c r="C73" s="83"/>
      <c r="L73" s="83" t="s">
        <v>90</v>
      </c>
    </row>
    <row r="74" spans="2:13" ht="15" customHeight="1" x14ac:dyDescent="0.3">
      <c r="C74" s="83"/>
      <c r="L74" s="83" t="s">
        <v>91</v>
      </c>
    </row>
    <row r="75" spans="2:13" ht="15" customHeight="1" x14ac:dyDescent="0.3">
      <c r="C75" s="83"/>
      <c r="L75" s="83"/>
    </row>
    <row r="76" spans="2:13" ht="15" customHeight="1" x14ac:dyDescent="0.3">
      <c r="C76" s="83"/>
      <c r="L76" s="83"/>
    </row>
    <row r="77" spans="2:13" ht="15" customHeight="1" x14ac:dyDescent="0.3">
      <c r="C77" s="83"/>
      <c r="L77" s="83"/>
    </row>
    <row r="78" spans="2:13" ht="15" customHeight="1" x14ac:dyDescent="0.3">
      <c r="C78" s="146"/>
      <c r="L78" s="146" t="s">
        <v>92</v>
      </c>
    </row>
    <row r="79" spans="2:13" ht="15" customHeight="1" x14ac:dyDescent="0.3">
      <c r="C79" s="83"/>
      <c r="L79" s="83" t="s">
        <v>93</v>
      </c>
    </row>
  </sheetData>
  <mergeCells count="6">
    <mergeCell ref="B3:M4"/>
    <mergeCell ref="B9:B10"/>
    <mergeCell ref="C9:C10"/>
    <mergeCell ref="E9:J10"/>
    <mergeCell ref="L9:L10"/>
    <mergeCell ref="M9:M10"/>
  </mergeCells>
  <pageMargins left="0.39370078740157483" right="0.39370078740157483" top="0.39370078740157483" bottom="0.39370078740157483" header="0.19685039370078741" footer="0.19685039370078741"/>
  <pageSetup paperSize="5" scale="77" fitToWidth="0" fitToHeight="0" orientation="landscape" verticalDpi="72" r:id="rId1"/>
  <rowBreaks count="2" manualBreakCount="2">
    <brk id="40" min="1" max="17" man="1"/>
    <brk id="79" min="1" max="17" man="1"/>
  </rowBreaks>
  <colBreaks count="1" manualBreakCount="1">
    <brk id="13" min="1" max="10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GAJI</vt:lpstr>
      <vt:lpstr>TKDD</vt:lpstr>
      <vt:lpstr>GAJI!Print_Area</vt:lpstr>
      <vt:lpstr>TKDD!Print_Area</vt:lpstr>
      <vt:lpstr>GAJI!Print_Titles</vt:lpstr>
      <vt:lpstr>TKDD!Print_Titles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N1N0CX10F512028@outlook.com</dc:creator>
  <cp:lastModifiedBy>peno fahmi</cp:lastModifiedBy>
  <dcterms:created xsi:type="dcterms:W3CDTF">2025-11-14T02:20:17Z</dcterms:created>
  <dcterms:modified xsi:type="dcterms:W3CDTF">2025-11-14T03:38:38Z</dcterms:modified>
</cp:coreProperties>
</file>